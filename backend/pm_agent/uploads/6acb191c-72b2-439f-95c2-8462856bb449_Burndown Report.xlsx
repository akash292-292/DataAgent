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Hours sheet" sheetId="2" r:id="rId5"/>
    <sheet state="visible" name="Pivot Table " sheetId="3" r:id="rId6"/>
  </sheets>
  <definedNames/>
  <calcPr/>
  <pivotCaches>
    <pivotCache cacheId="0" r:id="rId7"/>
    <pivotCache cacheId="1" r:id="rId8"/>
  </pivotCaches>
  <extLst>
    <ext uri="GoogleSheetsCustomDataVersion2">
      <go:sheetsCustomData xmlns:go="http://customooxmlschemas.google.com/" r:id="rId9" roundtripDataChecksum="i72u67qjVu7onG+UoHNPKEgrotHEpQZP2FOTTUXp0vo="/>
    </ext>
  </extLst>
</workbook>
</file>

<file path=xl/sharedStrings.xml><?xml version="1.0" encoding="utf-8"?>
<sst xmlns="http://schemas.openxmlformats.org/spreadsheetml/2006/main" count="310" uniqueCount="105">
  <si>
    <r>
      <rPr>
        <rFont val="Arial"/>
        <b/>
        <color rgb="FF000000"/>
        <u/>
      </rPr>
      <t xml:space="preserve">Note- Create a copy for your project. </t>
    </r>
    <r>
      <rPr>
        <rFont val="Arial"/>
        <b/>
        <color rgb="FFFF0000"/>
        <u/>
      </rPr>
      <t>Do not make any changes on the template!!</t>
    </r>
    <r>
      <rPr>
        <rFont val="Arial"/>
        <b/>
        <color rgb="FF000000"/>
        <u/>
      </rPr>
      <t xml:space="preserve">
Refer the Steps - </t>
    </r>
    <r>
      <rPr>
        <rFont val="Arial"/>
        <b/>
        <color rgb="FF1155CC"/>
        <u/>
      </rPr>
      <t>Burn Down Report Steps</t>
    </r>
  </si>
  <si>
    <r>
      <rPr>
        <rFont val="Arial"/>
        <color theme="1"/>
      </rPr>
      <t>Burn report needs to be submitted to Finance by the</t>
    </r>
    <r>
      <rPr>
        <rFont val="Arial"/>
        <b/>
        <color theme="1"/>
      </rPr>
      <t xml:space="preserve"> 5th of the Month</t>
    </r>
  </si>
  <si>
    <r>
      <rPr>
        <rFont val="Arial"/>
        <color theme="1"/>
      </rPr>
      <t xml:space="preserve">Save the Burn Report in your Project Folder and Share the link with the Finance team. 
Send to </t>
    </r>
    <r>
      <rPr>
        <rFont val="Arial"/>
        <b/>
        <color theme="1"/>
      </rPr>
      <t>satyanarayana.raju@forsysinc.com</t>
    </r>
    <r>
      <rPr>
        <rFont val="Arial"/>
        <color theme="1"/>
      </rPr>
      <t xml:space="preserve">
The sheet is sufficient for Time and Material and Fixed projects. However Projects that requrie milestone billing, needs to informed to Finance team with the Milestone description and the amount to be charged</t>
    </r>
  </si>
  <si>
    <t xml:space="preserve">Column "BU " : Select the Business Unit (BU) to which this project belongs. The BU will remain the same across all resources/rows.
</t>
  </si>
  <si>
    <t>Column "Capability 1" : Capability 1 is divided into Solutions and Delivery: Roles like BA, SA, and TA fall under Solutions. All other roles fall under Delivery.</t>
  </si>
  <si>
    <r>
      <rPr>
        <rFont val="Arial"/>
        <b/>
        <color theme="1"/>
      </rPr>
      <t xml:space="preserve">Column "Capability 2": </t>
    </r>
    <r>
      <rPr>
        <rFont val="Arial"/>
        <color theme="1"/>
      </rPr>
      <t>Capability 1 is further subdivided into Capability 2 categories:
Engineering: Includes developers and configurators.
Customer Success: Includes PM roles
QA: Includes QA resources.
On Demand: For staff augmentation</t>
    </r>
  </si>
  <si>
    <r>
      <rPr>
        <rFont val="Arial"/>
        <b/>
        <color theme="1"/>
      </rPr>
      <t>Column "Resource Name": Add the roles of the resources.</t>
    </r>
    <r>
      <rPr>
        <rFont val="Arial"/>
        <color theme="1"/>
      </rPr>
      <t xml:space="preserve"> 
</t>
    </r>
    <r>
      <rPr>
        <rFont val="Arial"/>
        <b/>
        <color theme="1"/>
      </rPr>
      <t>Note:</t>
    </r>
    <r>
      <rPr>
        <rFont val="Arial"/>
        <color theme="1"/>
      </rPr>
      <t xml:space="preserve"> If you have multiple resources with similar roles, such as "Configurator 1" and "Configurator 2," use the general term "Configurators" instead. Apply this standardization to all other roles as well.</t>
    </r>
  </si>
  <si>
    <r>
      <rPr>
        <rFont val="Arial"/>
        <b/>
        <color theme="1"/>
      </rPr>
      <t xml:space="preserve">Column "Actual Resource Role": </t>
    </r>
    <r>
      <rPr>
        <rFont val="Arial"/>
        <color theme="1"/>
      </rPr>
      <t>This column reflects the billable/Nonbillable specified in the SOW and will remain unchanged throughout the project. Even if a billable resource becomes non-billable in the future, no adjustments will be made to Column H.</t>
    </r>
  </si>
  <si>
    <r>
      <rPr>
        <rFont val="Arial"/>
        <b/>
        <color theme="1"/>
      </rPr>
      <t>Column "PO Status":</t>
    </r>
    <r>
      <rPr>
        <rFont val="Arial"/>
        <color theme="1"/>
      </rPr>
      <t xml:space="preserve"> If the Purchase Order (PO) expires, mark the status as "Inactive."</t>
    </r>
  </si>
  <si>
    <r>
      <rPr>
        <rFont val="Arial"/>
        <b/>
        <color theme="1"/>
      </rPr>
      <t xml:space="preserve">Column "Total Billed Hrs Cumulative": </t>
    </r>
    <r>
      <rPr>
        <rFont val="Arial"/>
        <color theme="1"/>
      </rPr>
      <t>Total Billed Hours to Date</t>
    </r>
  </si>
  <si>
    <r>
      <rPr>
        <rFont val="Arial"/>
        <b/>
        <color theme="1"/>
      </rPr>
      <t xml:space="preserve">Column "Billed till July": </t>
    </r>
    <r>
      <rPr>
        <rFont val="Arial"/>
        <color theme="1"/>
      </rPr>
      <t>These are for project which are already in Progress. Enter cumulative numbers from the start of your project through the end of current month. Obtain the actual numbers from MWA and billed numbers from the Finance team.</t>
    </r>
  </si>
  <si>
    <r>
      <rPr>
        <rFont val="Arial"/>
        <b/>
        <color theme="1"/>
      </rPr>
      <t>Column Billed Hours:</t>
    </r>
    <r>
      <rPr>
        <rFont val="Arial"/>
        <color theme="1"/>
      </rPr>
      <t xml:space="preserve"> This column represents billed hours, which Finance will use for client billing. Note that billed hours may differ from SOW hours or actual hours. For example, if a developer was billable until July and becomes non-billable from August onward, enter 0 hours in SOW, 160 hours in actual hours, and 0 hours in billed hours.</t>
    </r>
  </si>
  <si>
    <r>
      <rPr>
        <rFont val="Arial"/>
        <b/>
        <color theme="1"/>
      </rPr>
      <t>Pivot Table:</t>
    </r>
    <r>
      <rPr>
        <rFont val="Arial"/>
        <color theme="1"/>
      </rPr>
      <t xml:space="preserve"> The pivots will automatically update based on the data you enter in the Hour Sheet section.
</t>
    </r>
    <r>
      <rPr>
        <rFont val="Arial"/>
        <b/>
        <color theme="1"/>
      </rPr>
      <t>Note:</t>
    </r>
    <r>
      <rPr>
        <rFont val="Arial"/>
        <color theme="1"/>
      </rPr>
      <t xml:space="preserve"> Tables showing percentages are created manually and may require adjustments if discrepancies are noticed.</t>
    </r>
  </si>
  <si>
    <t>SR No</t>
  </si>
  <si>
    <t>Employee Code</t>
  </si>
  <si>
    <t>Chargecode</t>
  </si>
  <si>
    <t>BU</t>
  </si>
  <si>
    <t>Capability 1</t>
  </si>
  <si>
    <t>Capability 2</t>
  </si>
  <si>
    <t>Resource Name</t>
  </si>
  <si>
    <t>Actual Resource Role</t>
  </si>
  <si>
    <t>Offshore/Onshore</t>
  </si>
  <si>
    <t>Resource Type</t>
  </si>
  <si>
    <t>B/NB</t>
  </si>
  <si>
    <t>PO</t>
  </si>
  <si>
    <t>PO From</t>
  </si>
  <si>
    <t>PO To</t>
  </si>
  <si>
    <t>PO Status</t>
  </si>
  <si>
    <t>Total Billed Hrs Cumulative</t>
  </si>
  <si>
    <t>Billed Hours Till July 24</t>
  </si>
  <si>
    <t>Billed Hrs Jan'25</t>
  </si>
  <si>
    <t>Billed Hrs Feb'25</t>
  </si>
  <si>
    <t>Conga</t>
  </si>
  <si>
    <t xml:space="preserve">Delivery </t>
  </si>
  <si>
    <t>Customer Success</t>
  </si>
  <si>
    <t>Jeffin</t>
  </si>
  <si>
    <t>PM</t>
  </si>
  <si>
    <t>Offshore</t>
  </si>
  <si>
    <t>Internal</t>
  </si>
  <si>
    <t>B</t>
  </si>
  <si>
    <t>PO1N</t>
  </si>
  <si>
    <t>Aug'25</t>
  </si>
  <si>
    <t>Feb'26</t>
  </si>
  <si>
    <t>Active</t>
  </si>
  <si>
    <t>Solutions</t>
  </si>
  <si>
    <t>Business Architecture</t>
  </si>
  <si>
    <t>Param</t>
  </si>
  <si>
    <t>BA</t>
  </si>
  <si>
    <t>Onshore</t>
  </si>
  <si>
    <t>Solution Architecture</t>
  </si>
  <si>
    <t>Sachin</t>
  </si>
  <si>
    <t>SA</t>
  </si>
  <si>
    <t>Engineering</t>
  </si>
  <si>
    <t>Saranya</t>
  </si>
  <si>
    <t>Configurator</t>
  </si>
  <si>
    <t>Consultant</t>
  </si>
  <si>
    <t xml:space="preserve">Tom </t>
  </si>
  <si>
    <t>NB</t>
  </si>
  <si>
    <t>Alexis</t>
  </si>
  <si>
    <t>Peter</t>
  </si>
  <si>
    <t>Bryan</t>
  </si>
  <si>
    <t>Developer</t>
  </si>
  <si>
    <t>michelle</t>
  </si>
  <si>
    <t>tanya</t>
  </si>
  <si>
    <t>QA Lead</t>
  </si>
  <si>
    <t>Bobby</t>
  </si>
  <si>
    <t>QA analyst</t>
  </si>
  <si>
    <t>john</t>
  </si>
  <si>
    <t>Eve</t>
  </si>
  <si>
    <t>Kishore Darbha</t>
  </si>
  <si>
    <t>Project Manager</t>
  </si>
  <si>
    <t>Jul'24</t>
  </si>
  <si>
    <t>Sep'24</t>
  </si>
  <si>
    <t>Gangadhar</t>
  </si>
  <si>
    <t>Apttus Consultant</t>
  </si>
  <si>
    <t>Vidyasagar</t>
  </si>
  <si>
    <t>Sr. Developer</t>
  </si>
  <si>
    <t>Aug'24</t>
  </si>
  <si>
    <t>Oct'24</t>
  </si>
  <si>
    <t>Manoj</t>
  </si>
  <si>
    <t>Sr.Configurator</t>
  </si>
  <si>
    <t>Nagaraju</t>
  </si>
  <si>
    <t>Soumya</t>
  </si>
  <si>
    <t>Harshini</t>
  </si>
  <si>
    <t>ERP Functional</t>
  </si>
  <si>
    <t>Mahesh</t>
  </si>
  <si>
    <t>ODI Consultant</t>
  </si>
  <si>
    <t>Jan'25</t>
  </si>
  <si>
    <t>Renuka</t>
  </si>
  <si>
    <t>ERP resource</t>
  </si>
  <si>
    <t>Tejaswini</t>
  </si>
  <si>
    <t>Flodata configurator</t>
  </si>
  <si>
    <t>Resource Mix (Planned SOW hours with Actual hours worked and Billed hours to date across different resource roles)</t>
  </si>
  <si>
    <t>The below table shows Percentage discrepancies Comparision between SOW and Actual, Billed</t>
  </si>
  <si>
    <t>Total Actual Till Date</t>
  </si>
  <si>
    <t>Total Billed till Date</t>
  </si>
  <si>
    <t>COUNTA of Offshore/Onshore</t>
  </si>
  <si>
    <t>Grand Total</t>
  </si>
  <si>
    <t>Billable/Non Billable</t>
  </si>
  <si>
    <t>Actual Hours split till date</t>
  </si>
  <si>
    <t>Displays the percentage distribution of billable versus non-billable hours</t>
  </si>
  <si>
    <t>Billable</t>
  </si>
  <si>
    <t>Non Billable</t>
  </si>
  <si>
    <t>Total</t>
  </si>
  <si>
    <t>Shows the monthly delta between planned SOW hours and Actual hours, negative indicates more hours charged, zero is on track as per plan, positive means we have a float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</si>
</sst>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3">
    <font>
      <sz val="10.0"/>
      <color rgb="FF000000"/>
      <name val="Arial"/>
      <scheme val="minor"/>
    </font>
    <font>
      <color theme="1"/>
      <name val="Arial"/>
    </font>
    <font>
      <b/>
      <u/>
      <color theme="1"/>
      <name val="Arial"/>
    </font>
    <font>
      <sz val="11.0"/>
      <color rgb="FF000000"/>
      <name val="Arial"/>
    </font>
    <font>
      <b/>
      <sz val="11.0"/>
      <color rgb="FFFFFFFF"/>
      <name val="Calibri"/>
    </font>
    <font>
      <b/>
      <sz val="11.0"/>
      <color rgb="FF000000"/>
      <name val="Calibri"/>
    </font>
    <font>
      <sz val="8.0"/>
      <color rgb="FF000000"/>
      <name val="Calibri"/>
    </font>
    <font>
      <sz val="8.0"/>
      <color theme="1"/>
      <name val="Calibri"/>
    </font>
    <font>
      <strike/>
      <sz val="8.0"/>
      <color rgb="FF000000"/>
      <name val="Calibri"/>
    </font>
    <font>
      <strike/>
      <color theme="1"/>
      <name val="Arial"/>
    </font>
    <font>
      <b/>
      <sz val="11.0"/>
      <color rgb="FF000000"/>
      <name val="Arial"/>
    </font>
    <font>
      <b/>
      <color theme="1"/>
      <name val="Arial"/>
    </font>
    <font>
      <color theme="1"/>
      <name val="Arial"/>
      <scheme val="minor"/>
    </font>
  </fonts>
  <fills count="6">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1E4E79"/>
        <bgColor rgb="FF1E4E79"/>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vertical="top"/>
    </xf>
    <xf borderId="0" fillId="2" fontId="2" numFmtId="0" xfId="0" applyAlignment="1" applyFill="1" applyFont="1">
      <alignment horizontal="center" readingOrder="0" vertical="top"/>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3" numFmtId="0" xfId="0" applyAlignment="1" applyFont="1">
      <alignment shrinkToFit="0" vertical="center" wrapText="0"/>
    </xf>
    <xf borderId="0" fillId="0" fontId="4" numFmtId="0" xfId="0" applyAlignment="1" applyFont="1">
      <alignment horizontal="center" shrinkToFit="0" vertical="center" wrapText="1"/>
    </xf>
    <xf borderId="0" fillId="0" fontId="4" numFmtId="0" xfId="0" applyAlignment="1" applyFont="1">
      <alignment horizontal="center" vertical="center"/>
    </xf>
    <xf borderId="0" fillId="0" fontId="5"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vertical="center"/>
    </xf>
    <xf borderId="0" fillId="3" fontId="3" numFmtId="0" xfId="0" applyAlignment="1" applyFill="1" applyFont="1">
      <alignment shrinkToFit="0" vertical="center" wrapText="0"/>
    </xf>
    <xf borderId="1" fillId="4" fontId="5" numFmtId="0" xfId="0" applyAlignment="1" applyBorder="1" applyFill="1" applyFont="1">
      <alignment horizontal="center" shrinkToFit="0" vertical="center" wrapText="1"/>
    </xf>
    <xf borderId="1" fillId="4" fontId="5" numFmtId="0" xfId="0" applyAlignment="1" applyBorder="1" applyFont="1">
      <alignment horizontal="center" vertical="center"/>
    </xf>
    <xf borderId="1" fillId="4" fontId="4" numFmtId="0" xfId="0" applyAlignment="1" applyBorder="1" applyFont="1">
      <alignment horizontal="center" shrinkToFit="0" vertical="center" wrapText="1"/>
    </xf>
    <xf borderId="1" fillId="2" fontId="5" numFmtId="0" xfId="0" applyAlignment="1" applyBorder="1" applyFont="1">
      <alignment horizontal="center" shrinkToFit="0" vertical="center" wrapText="1"/>
    </xf>
    <xf borderId="0" fillId="0" fontId="6" numFmtId="0" xfId="0" applyAlignment="1" applyFont="1">
      <alignment vertical="center"/>
    </xf>
    <xf borderId="1" fillId="5" fontId="6" numFmtId="0" xfId="0" applyAlignment="1" applyBorder="1" applyFill="1" applyFont="1">
      <alignment vertical="center"/>
    </xf>
    <xf borderId="1" fillId="5" fontId="6" numFmtId="49" xfId="0" applyAlignment="1" applyBorder="1" applyFont="1" applyNumberFormat="1">
      <alignment vertical="center"/>
    </xf>
    <xf borderId="1" fillId="5" fontId="6" numFmtId="164" xfId="0" applyAlignment="1" applyBorder="1" applyFont="1" applyNumberFormat="1">
      <alignment vertical="center"/>
    </xf>
    <xf borderId="1" fillId="3" fontId="7" numFmtId="0" xfId="0" applyAlignment="1" applyBorder="1" applyFont="1">
      <alignment horizontal="center" vertical="center"/>
    </xf>
    <xf borderId="1" fillId="5" fontId="6" numFmtId="0" xfId="0" applyAlignment="1" applyBorder="1" applyFont="1">
      <alignment horizontal="center" vertical="center"/>
    </xf>
    <xf borderId="1" fillId="5" fontId="6" numFmtId="0" xfId="0" applyAlignment="1" applyBorder="1" applyFont="1">
      <alignment horizontal="center" shrinkToFit="0" vertical="center" wrapText="1"/>
    </xf>
    <xf borderId="0" fillId="0" fontId="1" numFmtId="0" xfId="0" applyAlignment="1" applyFont="1">
      <alignment readingOrder="0" vertical="center"/>
    </xf>
    <xf borderId="1" fillId="5" fontId="8" numFmtId="0" xfId="0" applyAlignment="1" applyBorder="1" applyFont="1">
      <alignment horizontal="center" vertical="center"/>
    </xf>
    <xf borderId="0" fillId="0" fontId="9" numFmtId="0" xfId="0" applyAlignment="1" applyFont="1">
      <alignment vertical="center"/>
    </xf>
    <xf borderId="1" fillId="5" fontId="1" numFmtId="0" xfId="0" applyAlignment="1" applyBorder="1" applyFont="1">
      <alignment vertical="center"/>
    </xf>
    <xf borderId="1" fillId="5" fontId="10" numFmtId="0" xfId="0" applyAlignment="1" applyBorder="1" applyFont="1">
      <alignment horizontal="center" shrinkToFit="0" vertical="center" wrapText="0"/>
    </xf>
    <xf borderId="0" fillId="0" fontId="11" numFmtId="0" xfId="0" applyFont="1"/>
    <xf borderId="0" fillId="0" fontId="12" numFmtId="0" xfId="0" applyFont="1"/>
    <xf borderId="1" fillId="0" fontId="1" numFmtId="0" xfId="0" applyBorder="1" applyFont="1"/>
    <xf borderId="1" fillId="0" fontId="11" numFmtId="0" xfId="0" applyBorder="1" applyFont="1"/>
    <xf borderId="1" fillId="0" fontId="1" numFmtId="9" xfId="0" applyBorder="1" applyFont="1" applyNumberFormat="1"/>
    <xf borderId="1" fillId="0" fontId="11" numFmtId="0" xfId="0" applyAlignment="1" applyBorder="1" applyFont="1">
      <alignment horizontal="center"/>
    </xf>
    <xf borderId="1" fillId="0" fontId="1" numFmtId="0" xfId="0" applyAlignment="1" applyBorder="1" applyFont="1">
      <alignment horizontal="center"/>
    </xf>
    <xf borderId="0" fillId="0" fontId="1" numFmtId="0" xfId="0" applyAlignment="1" applyFont="1">
      <alignment horizont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T974" sheet="Hours sheet"/>
  </cacheSource>
  <cacheFields>
    <cacheField name="SR No" numFmtId="0">
      <sharedItems containsString="0" containsBlank="1" containsNumber="1" containsInteger="1">
        <n v="1.0"/>
        <n v="2.0"/>
        <n v="3.0"/>
        <n v="4.0"/>
        <n v="5.0"/>
        <n v="6.0"/>
        <n v="7.0"/>
        <n v="8.0"/>
        <n v="9.0"/>
        <n v="10.0"/>
        <n v="11.0"/>
        <n v="12.0"/>
        <n v="13.0"/>
        <n v="14.0"/>
        <n v="15.0"/>
        <n v="16.0"/>
        <n v="17.0"/>
        <n v="18.0"/>
        <n v="19.0"/>
        <n v="20.0"/>
        <n v="21.0"/>
        <n v="22.0"/>
        <n v="23.0"/>
        <m/>
      </sharedItems>
    </cacheField>
    <cacheField name="Employee Code" numFmtId="0">
      <sharedItems containsString="0" containsBlank="1" containsNumber="1" containsInteger="1">
        <n v="1011.0"/>
        <n v="1012.0"/>
        <n v="1013.0"/>
        <n v="1014.0"/>
        <n v="1015.0"/>
        <n v="1016.0"/>
        <n v="1017.0"/>
        <n v="1018.0"/>
        <n v="1019.0"/>
        <n v="1020.0"/>
        <n v="1021.0"/>
        <n v="1022.0"/>
        <n v="1023.0"/>
        <n v="10395.0"/>
        <m/>
        <n v="10417.0"/>
        <n v="10287.0"/>
        <n v="10381.0"/>
        <n v="10089.0"/>
        <n v="10067.0"/>
        <n v="10742.0"/>
        <n v="10585.0"/>
      </sharedItems>
    </cacheField>
    <cacheField name="Chargecode" numFmtId="0">
      <sharedItems containsString="0" containsBlank="1">
        <m/>
      </sharedItems>
    </cacheField>
    <cacheField name="BU" numFmtId="0">
      <sharedItems containsBlank="1">
        <s v="Conga"/>
        <m/>
      </sharedItems>
    </cacheField>
    <cacheField name="Capability 1" numFmtId="0">
      <sharedItems containsBlank="1">
        <s v="Delivery "/>
        <s v="Solutions"/>
        <m/>
      </sharedItems>
    </cacheField>
    <cacheField name="Capability 2" numFmtId="0">
      <sharedItems containsBlank="1">
        <s v="Customer Success"/>
        <s v="Business Architecture"/>
        <s v="Solution Architecture"/>
        <s v="Engineering"/>
        <m/>
      </sharedItems>
    </cacheField>
    <cacheField name="Resource Name" numFmtId="0">
      <sharedItems containsBlank="1">
        <s v="Jeffin"/>
        <s v="Param"/>
        <s v="Sachin"/>
        <s v="Saranya"/>
        <s v="Tom "/>
        <s v="Alexis"/>
        <s v="Peter"/>
        <s v="Bryan"/>
        <s v="michelle"/>
        <s v="tanya"/>
        <s v="Bobby"/>
        <s v="john"/>
        <s v="Eve"/>
        <s v="Kishore Darbha"/>
        <s v="Gangadhar"/>
        <s v="Vidyasagar"/>
        <s v="Manoj"/>
        <s v="Nagaraju"/>
        <s v="Soumya"/>
        <s v="Harshini"/>
        <s v="Mahesh"/>
        <s v="Renuka"/>
        <s v="Tejaswini"/>
        <m/>
      </sharedItems>
    </cacheField>
    <cacheField name="Actual Resource Role" numFmtId="0">
      <sharedItems containsBlank="1">
        <s v="PM"/>
        <s v="BA"/>
        <s v="SA"/>
        <s v="Configurator"/>
        <s v="Developer"/>
        <s v="QA Lead"/>
        <s v="QA analyst"/>
        <s v="Project Manager"/>
        <s v="Apttus Consultant"/>
        <s v="Sr. Developer"/>
        <s v="Sr.Configurator"/>
        <s v="ERP Functional"/>
        <s v="ODI Consultant"/>
        <s v="ERP resource"/>
        <s v="Flodata configurator"/>
        <m/>
      </sharedItems>
    </cacheField>
    <cacheField name="Offshore/Onshore" numFmtId="0">
      <sharedItems containsBlank="1">
        <s v="Offshore"/>
        <s v="Onshore"/>
        <m/>
      </sharedItems>
    </cacheField>
    <cacheField name="Resource Type" numFmtId="0">
      <sharedItems containsBlank="1">
        <s v="Internal"/>
        <s v="Consultant"/>
        <m/>
      </sharedItems>
    </cacheField>
    <cacheField name="B/NB" numFmtId="0">
      <sharedItems containsBlank="1">
        <s v="B"/>
        <s v="NB"/>
        <m/>
      </sharedItems>
    </cacheField>
    <cacheField name="PO">
      <sharedItems containsBlank="1" containsMixedTypes="1" containsNumber="1" containsInteger="1">
        <s v="PO1N"/>
        <n v="15741.0"/>
        <n v="15825.0"/>
        <n v="15824.0"/>
        <m/>
      </sharedItems>
    </cacheField>
    <cacheField name="PO From" numFmtId="49">
      <sharedItems containsBlank="1">
        <s v="Aug'25"/>
        <s v="Jul'24"/>
        <s v="Aug'24"/>
        <m/>
      </sharedItems>
    </cacheField>
    <cacheField name="PO To" numFmtId="49">
      <sharedItems containsBlank="1">
        <s v="Feb'26"/>
        <s v="Sep'24"/>
        <s v="Oct'24"/>
        <s v="Jan'25"/>
        <m/>
      </sharedItems>
    </cacheField>
    <cacheField name="PO Status" numFmtId="164">
      <sharedItems containsBlank="1">
        <s v="Active"/>
        <m/>
      </sharedItems>
    </cacheField>
    <cacheField name="Total Billed Hrs Cumulative" numFmtId="0">
      <sharedItems containsString="0" containsBlank="1" containsNumber="1" containsInteger="1">
        <n v="100.0"/>
        <n v="50.0"/>
        <n v="0.0"/>
        <m/>
      </sharedItems>
    </cacheField>
    <cacheField name="Billed Hours Till July 24" numFmtId="0">
      <sharedItems containsString="0" containsBlank="1" containsNumber="1" containsInteger="1">
        <n v="100.0"/>
        <n v="50.0"/>
        <m/>
      </sharedItems>
    </cacheField>
    <cacheField name="Billed Hrs Jan'25" numFmtId="0">
      <sharedItems containsString="0" containsBlank="1">
        <m/>
      </sharedItems>
    </cacheField>
    <cacheField name="Billed Hrs Feb'25"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T15" sheet="Hours sheet"/>
  </cacheSource>
  <cacheFields>
    <cacheField name="SR No" numFmtId="0">
      <sharedItems containsSemiMixedTypes="0" containsString="0" containsNumber="1" containsInteger="1">
        <n v="1.0"/>
        <n v="2.0"/>
        <n v="3.0"/>
        <n v="4.0"/>
        <n v="5.0"/>
        <n v="6.0"/>
        <n v="7.0"/>
        <n v="8.0"/>
        <n v="9.0"/>
        <n v="10.0"/>
        <n v="11.0"/>
        <n v="12.0"/>
        <n v="13.0"/>
      </sharedItems>
    </cacheField>
    <cacheField name="Employee Code" numFmtId="0">
      <sharedItems containsSemiMixedTypes="0" containsString="0" containsNumber="1" containsInteger="1">
        <n v="1011.0"/>
        <n v="1012.0"/>
        <n v="1013.0"/>
        <n v="1014.0"/>
        <n v="1015.0"/>
        <n v="1016.0"/>
        <n v="1017.0"/>
        <n v="1018.0"/>
        <n v="1019.0"/>
        <n v="1020.0"/>
        <n v="1021.0"/>
        <n v="1022.0"/>
        <n v="1023.0"/>
      </sharedItems>
    </cacheField>
    <cacheField name="Chargecode" numFmtId="0">
      <sharedItems containsString="0" containsBlank="1">
        <m/>
      </sharedItems>
    </cacheField>
    <cacheField name="BU" numFmtId="0">
      <sharedItems containsBlank="1">
        <s v="Conga"/>
        <m/>
      </sharedItems>
    </cacheField>
    <cacheField name="Capability 1" numFmtId="0">
      <sharedItems containsBlank="1">
        <s v="Delivery "/>
        <s v="Solutions"/>
        <m/>
      </sharedItems>
    </cacheField>
    <cacheField name="Capability 2" numFmtId="0">
      <sharedItems containsBlank="1">
        <s v="Customer Success"/>
        <s v="Business Architecture"/>
        <s v="Solution Architecture"/>
        <s v="Engineering"/>
        <m/>
      </sharedItems>
    </cacheField>
    <cacheField name="Resource Name" numFmtId="0">
      <sharedItems>
        <s v="Jeffin"/>
        <s v="Param"/>
        <s v="Sachin"/>
        <s v="Saranya"/>
        <s v="Tom "/>
        <s v="Alexis"/>
        <s v="Peter"/>
        <s v="Bryan"/>
        <s v="michelle"/>
        <s v="tanya"/>
        <s v="Bobby"/>
        <s v="john"/>
        <s v="Eve"/>
      </sharedItems>
    </cacheField>
    <cacheField name="Actual Resource Role" numFmtId="0">
      <sharedItems>
        <s v="PM"/>
        <s v="BA"/>
        <s v="SA"/>
        <s v="Configurator"/>
        <s v="Developer"/>
        <s v="QA Lead"/>
        <s v="QA analyst"/>
      </sharedItems>
    </cacheField>
    <cacheField name="Offshore/Onshore" numFmtId="0">
      <sharedItems>
        <s v="Offshore"/>
        <s v="Onshore"/>
      </sharedItems>
    </cacheField>
    <cacheField name="Resource Type" numFmtId="0">
      <sharedItems>
        <s v="Internal"/>
        <s v="Consultant"/>
      </sharedItems>
    </cacheField>
    <cacheField name="B/NB" numFmtId="0">
      <sharedItems>
        <s v="B"/>
        <s v="NB"/>
      </sharedItems>
    </cacheField>
    <cacheField name="PO" numFmtId="49">
      <sharedItems>
        <s v="PO1N"/>
      </sharedItems>
    </cacheField>
    <cacheField name="PO From" numFmtId="49">
      <sharedItems>
        <s v="Aug'25"/>
      </sharedItems>
    </cacheField>
    <cacheField name="PO To" numFmtId="49">
      <sharedItems>
        <s v="Feb'26"/>
      </sharedItems>
    </cacheField>
    <cacheField name="PO Status" numFmtId="164">
      <sharedItems>
        <s v="Active"/>
      </sharedItems>
    </cacheField>
    <cacheField name="Total Billed Hrs Cumulative" numFmtId="0">
      <sharedItems containsSemiMixedTypes="0" containsString="0" containsNumber="1" containsInteger="1">
        <n v="100.0"/>
        <n v="50.0"/>
        <n v="0.0"/>
      </sharedItems>
    </cacheField>
    <cacheField name="Billed Hours Till July 24" numFmtId="0">
      <sharedItems containsString="0" containsBlank="1" containsNumber="1" containsInteger="1">
        <n v="100.0"/>
        <n v="50.0"/>
        <m/>
      </sharedItems>
    </cacheField>
    <cacheField name="Billed Hrs Jan'25" numFmtId="0">
      <sharedItems containsString="0" containsBlank="1">
        <m/>
      </sharedItems>
    </cacheField>
    <cacheField name="Billed Hrs Feb'25"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 cacheId="0" dataCaption="" compact="0" compactData="0">
  <location ref="B2:B15" firstHeaderRow="0" firstDataRow="2" firstDataCol="0"/>
  <pivotFields>
    <pivotField name="SR No"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mployee Co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hargecode" compact="0" outline="0" multipleItemSelectionAllowed="1" showAll="0">
      <items>
        <item x="0"/>
        <item t="default"/>
      </items>
    </pivotField>
    <pivotField name="BU" compact="0" outline="0" multipleItemSelectionAllowed="1" showAll="0">
      <items>
        <item x="0"/>
        <item x="1"/>
        <item t="default"/>
      </items>
    </pivotField>
    <pivotField name="Capability 1" compact="0" outline="0" multipleItemSelectionAllowed="1" showAll="0">
      <items>
        <item x="0"/>
        <item x="1"/>
        <item x="2"/>
        <item t="default"/>
      </items>
    </pivotField>
    <pivotField name="Capability 2" compact="0" outline="0" multipleItemSelectionAllowed="1" showAll="0">
      <items>
        <item x="0"/>
        <item x="1"/>
        <item x="2"/>
        <item x="3"/>
        <item x="4"/>
        <item t="default"/>
      </items>
    </pivotField>
    <pivotField name="Resourc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ctual Resource Role" axis="axisRow" dataField="1" compact="0" outline="0" multipleItemSelectionAllowed="1" showAll="0" sortType="ascending">
      <items>
        <item x="15"/>
        <item x="8"/>
        <item x="1"/>
        <item x="3"/>
        <item x="4"/>
        <item x="11"/>
        <item x="13"/>
        <item x="14"/>
        <item x="12"/>
        <item x="0"/>
        <item x="7"/>
        <item x="6"/>
        <item x="5"/>
        <item x="2"/>
        <item x="9"/>
        <item x="10"/>
        <item t="default"/>
      </items>
    </pivotField>
    <pivotField name="Offshore/Onshore" compact="0" outline="0" multipleItemSelectionAllowed="1" showAll="0">
      <items>
        <item x="0"/>
        <item x="1"/>
        <item x="2"/>
        <item t="default"/>
      </items>
    </pivotField>
    <pivotField name="Resource Type" compact="0" outline="0" multipleItemSelectionAllowed="1" showAll="0">
      <items>
        <item x="0"/>
        <item x="1"/>
        <item x="2"/>
        <item t="default"/>
      </items>
    </pivotField>
    <pivotField name="B/NB" compact="0" outline="0" multipleItemSelectionAllowed="1" showAll="0">
      <items>
        <item x="0"/>
        <item x="1"/>
        <item x="2"/>
        <item t="default"/>
      </items>
    </pivotField>
    <pivotField name="PO" compact="0" outline="0" multipleItemSelectionAllowed="1" showAll="0">
      <items>
        <item x="0"/>
        <item x="1"/>
        <item x="2"/>
        <item x="3"/>
        <item x="4"/>
        <item t="default"/>
      </items>
    </pivotField>
    <pivotField name="PO From" compact="0" numFmtId="49" outline="0" multipleItemSelectionAllowed="1" showAll="0">
      <items>
        <item x="0"/>
        <item x="1"/>
        <item x="2"/>
        <item x="3"/>
        <item t="default"/>
      </items>
    </pivotField>
    <pivotField name="PO To" compact="0" numFmtId="49" outline="0" multipleItemSelectionAllowed="1" showAll="0">
      <items>
        <item x="0"/>
        <item x="1"/>
        <item x="2"/>
        <item x="3"/>
        <item x="4"/>
        <item t="default"/>
      </items>
    </pivotField>
    <pivotField name="PO Status" compact="0" numFmtId="164" outline="0" multipleItemSelectionAllowed="1" showAll="0">
      <items>
        <item x="0"/>
        <item x="1"/>
        <item t="default"/>
      </items>
    </pivotField>
    <pivotField name="Total Billed Hrs Cumulative" dataField="1" compact="0" outline="0" multipleItemSelectionAllowed="1" showAll="0">
      <items>
        <item x="0"/>
        <item x="1"/>
        <item x="2"/>
        <item x="3"/>
        <item t="default"/>
      </items>
    </pivotField>
    <pivotField name="Billed Hours Till July 24" compact="0" outline="0" multipleItemSelectionAllowed="1" showAll="0">
      <items>
        <item x="0"/>
        <item x="1"/>
        <item x="2"/>
        <item t="default"/>
      </items>
    </pivotField>
    <pivotField name="Billed Hrs Jan'25" compact="0" outline="0" multipleItemSelectionAllowed="1" showAll="0">
      <items>
        <item x="0"/>
        <item t="default"/>
      </items>
    </pivotField>
    <pivotField name="Billed Hrs Feb'25" compact="0" outline="0" multipleItemSelectionAllowed="1" showAll="0">
      <items>
        <item x="0"/>
        <item t="default"/>
      </items>
    </pivotField>
  </pivotFields>
  <rowFields>
    <field x="7"/>
  </rowFields>
  <colFields>
    <field x="-2"/>
  </colFields>
  <dataFields>
    <dataField name="Total Count" fld="7" subtotal="count" baseField="0"/>
    <dataField name="Total Billed till Date" fld="15" baseField="0"/>
  </dataFields>
</pivotTableDefinition>
</file>

<file path=xl/pivotTables/pivotTable2.xml><?xml version="1.0" encoding="utf-8"?>
<pivotTableDefinition xmlns="http://schemas.openxmlformats.org/spreadsheetml/2006/main" name="Pivot Table  2" cacheId="0" dataCaption="" compact="0" compactData="0">
  <location ref="H2:H16" firstHeaderRow="0" firstDataRow="1" firstDataCol="0"/>
  <pivotFields>
    <pivotField name="SR No"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mployee Cod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hargecode" compact="0" outline="0" multipleItemSelectionAllowed="1" showAll="0">
      <items>
        <item x="0"/>
        <item t="default"/>
      </items>
    </pivotField>
    <pivotField name="BU" compact="0" outline="0" multipleItemSelectionAllowed="1" showAll="0">
      <items>
        <item x="0"/>
        <item x="1"/>
        <item t="default"/>
      </items>
    </pivotField>
    <pivotField name="Capability 1" compact="0" outline="0" multipleItemSelectionAllowed="1" showAll="0">
      <items>
        <item x="0"/>
        <item x="1"/>
        <item x="2"/>
        <item t="default"/>
      </items>
    </pivotField>
    <pivotField name="Capability 2" compact="0" outline="0" multipleItemSelectionAllowed="1" showAll="0">
      <items>
        <item x="0"/>
        <item x="1"/>
        <item x="2"/>
        <item x="3"/>
        <item x="4"/>
        <item t="default"/>
      </items>
    </pivotField>
    <pivotField name="Resourc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ctual Resource Role" axis="axisRow" dataField="1" compact="0" outline="0" multipleItemSelectionAllowed="1" showAll="0" sortType="ascending">
      <items>
        <item x="15"/>
        <item x="8"/>
        <item x="1"/>
        <item x="3"/>
        <item x="4"/>
        <item x="11"/>
        <item x="13"/>
        <item x="14"/>
        <item x="12"/>
        <item x="0"/>
        <item x="7"/>
        <item x="6"/>
        <item x="5"/>
        <item x="2"/>
        <item x="9"/>
        <item x="10"/>
        <item t="default"/>
      </items>
    </pivotField>
    <pivotField name="Offshore/Onshore" compact="0" outline="0" multipleItemSelectionAllowed="1" showAll="0">
      <items>
        <item x="0"/>
        <item x="1"/>
        <item x="2"/>
        <item t="default"/>
      </items>
    </pivotField>
    <pivotField name="Resource Type" compact="0" outline="0" multipleItemSelectionAllowed="1" showAll="0">
      <items>
        <item x="0"/>
        <item x="1"/>
        <item x="2"/>
        <item t="default"/>
      </items>
    </pivotField>
    <pivotField name="B/NB" compact="0" outline="0" multipleItemSelectionAllowed="1" showAll="0">
      <items>
        <item x="0"/>
        <item x="1"/>
        <item x="2"/>
        <item t="default"/>
      </items>
    </pivotField>
    <pivotField name="PO" compact="0" outline="0" multipleItemSelectionAllowed="1" showAll="0">
      <items>
        <item x="0"/>
        <item x="1"/>
        <item x="2"/>
        <item x="3"/>
        <item x="4"/>
        <item t="default"/>
      </items>
    </pivotField>
    <pivotField name="PO From" compact="0" numFmtId="49" outline="0" multipleItemSelectionAllowed="1" showAll="0">
      <items>
        <item x="0"/>
        <item x="1"/>
        <item x="2"/>
        <item x="3"/>
        <item t="default"/>
      </items>
    </pivotField>
    <pivotField name="PO To" compact="0" numFmtId="49" outline="0" multipleItemSelectionAllowed="1" showAll="0">
      <items>
        <item x="0"/>
        <item x="1"/>
        <item x="2"/>
        <item x="3"/>
        <item x="4"/>
        <item t="default"/>
      </items>
    </pivotField>
    <pivotField name="PO Status" compact="0" numFmtId="164" outline="0" multipleItemSelectionAllowed="1" showAll="0">
      <items>
        <item x="0"/>
        <item x="1"/>
        <item t="default"/>
      </items>
    </pivotField>
    <pivotField name="Total Billed Hrs Cumulative" compact="0" outline="0" multipleItemSelectionAllowed="1" showAll="0">
      <items>
        <item x="0"/>
        <item x="1"/>
        <item x="2"/>
        <item x="3"/>
        <item t="default"/>
      </items>
    </pivotField>
    <pivotField name="Billed Hours Till July 24" compact="0" outline="0" multipleItemSelectionAllowed="1" showAll="0">
      <items>
        <item x="0"/>
        <item x="1"/>
        <item x="2"/>
        <item t="default"/>
      </items>
    </pivotField>
    <pivotField name="Billed Hrs Jan'25" compact="0" outline="0" multipleItemSelectionAllowed="1" showAll="0">
      <items>
        <item x="0"/>
        <item t="default"/>
      </items>
    </pivotField>
    <pivotField name="Billed Hrs Feb'25" compact="0" outline="0" multipleItemSelectionAllowed="1" showAll="0">
      <items>
        <item x="0"/>
        <item t="default"/>
      </items>
    </pivotField>
  </pivotFields>
  <rowFields>
    <field x="7"/>
  </rowFields>
  <dataFields>
    <dataField name="Total Count" fld="7" subtotal="count" baseField="0"/>
  </dataFields>
</pivotTableDefinition>
</file>

<file path=xl/pivotTables/pivotTable3.xml><?xml version="1.0" encoding="utf-8"?>
<pivotTableDefinition xmlns="http://schemas.openxmlformats.org/spreadsheetml/2006/main" name="Pivot Table  3" cacheId="1" dataCaption="" compact="0" compactData="0">
  <location ref="B15:E24" firstHeaderRow="0" firstDataRow="1" firstDataCol="1"/>
  <pivotFields>
    <pivotField name="SR No" compact="0" outline="0" multipleItemSelectionAllowed="1" showAll="0">
      <items>
        <item x="0"/>
        <item x="1"/>
        <item x="2"/>
        <item x="3"/>
        <item x="4"/>
        <item x="5"/>
        <item x="6"/>
        <item x="7"/>
        <item x="8"/>
        <item x="9"/>
        <item x="10"/>
        <item x="11"/>
        <item x="12"/>
        <item t="default"/>
      </items>
    </pivotField>
    <pivotField name="Employee Code" compact="0" outline="0" multipleItemSelectionAllowed="1" showAll="0">
      <items>
        <item x="0"/>
        <item x="1"/>
        <item x="2"/>
        <item x="3"/>
        <item x="4"/>
        <item x="5"/>
        <item x="6"/>
        <item x="7"/>
        <item x="8"/>
        <item x="9"/>
        <item x="10"/>
        <item x="11"/>
        <item x="12"/>
        <item t="default"/>
      </items>
    </pivotField>
    <pivotField name="Chargecode" compact="0" outline="0" multipleItemSelectionAllowed="1" showAll="0">
      <items>
        <item x="0"/>
        <item t="default"/>
      </items>
    </pivotField>
    <pivotField name="BU" compact="0" outline="0" multipleItemSelectionAllowed="1" showAll="0">
      <items>
        <item x="0"/>
        <item x="1"/>
        <item t="default"/>
      </items>
    </pivotField>
    <pivotField name="Capability 1" compact="0" outline="0" multipleItemSelectionAllowed="1" showAll="0">
      <items>
        <item x="0"/>
        <item x="1"/>
        <item x="2"/>
        <item t="default"/>
      </items>
    </pivotField>
    <pivotField name="Capability 2" compact="0" outline="0" multipleItemSelectionAllowed="1" showAll="0">
      <items>
        <item x="0"/>
        <item x="1"/>
        <item x="2"/>
        <item x="3"/>
        <item x="4"/>
        <item t="default"/>
      </items>
    </pivotField>
    <pivotField name="Resource Name" compact="0" outline="0" multipleItemSelectionAllowed="1" showAll="0">
      <items>
        <item x="0"/>
        <item x="1"/>
        <item x="2"/>
        <item x="3"/>
        <item x="4"/>
        <item x="5"/>
        <item x="6"/>
        <item x="7"/>
        <item x="8"/>
        <item x="9"/>
        <item x="10"/>
        <item x="11"/>
        <item x="12"/>
        <item t="default"/>
      </items>
    </pivotField>
    <pivotField name="Actual Resource Role" axis="axisRow" compact="0" outline="0" multipleItemSelectionAllowed="1" showAll="0" sortType="ascending">
      <items>
        <item x="1"/>
        <item x="3"/>
        <item x="4"/>
        <item x="0"/>
        <item x="6"/>
        <item x="5"/>
        <item x="2"/>
        <item t="default"/>
      </items>
    </pivotField>
    <pivotField name="Offshore/Onshore" axis="axisCol" dataField="1" compact="0" outline="0" multipleItemSelectionAllowed="1" showAll="0" sortType="ascending">
      <items>
        <item x="0"/>
        <item x="1"/>
        <item t="default"/>
      </items>
    </pivotField>
    <pivotField name="Resource Type" compact="0" outline="0" multipleItemSelectionAllowed="1" showAll="0">
      <items>
        <item x="0"/>
        <item x="1"/>
        <item t="default"/>
      </items>
    </pivotField>
    <pivotField name="B/NB" compact="0" outline="0" multipleItemSelectionAllowed="1" showAll="0">
      <items>
        <item x="0"/>
        <item x="1"/>
        <item t="default"/>
      </items>
    </pivotField>
    <pivotField name="PO" compact="0" numFmtId="49" outline="0" multipleItemSelectionAllowed="1" showAll="0">
      <items>
        <item x="0"/>
        <item t="default"/>
      </items>
    </pivotField>
    <pivotField name="PO From" compact="0" numFmtId="49" outline="0" multipleItemSelectionAllowed="1" showAll="0">
      <items>
        <item x="0"/>
        <item t="default"/>
      </items>
    </pivotField>
    <pivotField name="PO To" compact="0" numFmtId="49" outline="0" multipleItemSelectionAllowed="1" showAll="0">
      <items>
        <item x="0"/>
        <item t="default"/>
      </items>
    </pivotField>
    <pivotField name="PO Status" compact="0" numFmtId="164" outline="0" multipleItemSelectionAllowed="1" showAll="0">
      <items>
        <item x="0"/>
        <item t="default"/>
      </items>
    </pivotField>
    <pivotField name="Total Billed Hrs Cumulative" compact="0" outline="0" multipleItemSelectionAllowed="1" showAll="0">
      <items>
        <item x="0"/>
        <item x="1"/>
        <item x="2"/>
        <item t="default"/>
      </items>
    </pivotField>
    <pivotField name="Billed Hours Till July 24" compact="0" outline="0" multipleItemSelectionAllowed="1" showAll="0">
      <items>
        <item x="0"/>
        <item x="1"/>
        <item x="2"/>
        <item t="default"/>
      </items>
    </pivotField>
    <pivotField name="Billed Hrs Jan'25" compact="0" outline="0" multipleItemSelectionAllowed="1" showAll="0">
      <items>
        <item x="0"/>
        <item t="default"/>
      </items>
    </pivotField>
    <pivotField name="Billed Hrs Feb'25" compact="0" outline="0" multipleItemSelectionAllowed="1" showAll="0">
      <items>
        <item x="0"/>
        <item t="default"/>
      </items>
    </pivotField>
  </pivotFields>
  <rowFields>
    <field x="7"/>
  </rowFields>
  <colFields>
    <field x="8"/>
  </colFields>
  <dataFields>
    <dataField name="COUNTA of Offshore/Onshore" fld="8" subtotal="count" baseField="0"/>
  </dataFields>
</pivotTableDefinition>
</file>

<file path=xl/pivotTables/pivotTable4.xml><?xml version="1.0" encoding="utf-8"?>
<pivotTableDefinition xmlns="http://schemas.openxmlformats.org/spreadsheetml/2006/main" name="Pivot Table  4" cacheId="1" dataCaption="" compact="0" compactData="0">
  <location ref="H16:K25" firstHeaderRow="0" firstDataRow="1" firstDataCol="1"/>
  <pivotFields>
    <pivotField name="SR No" compact="0" outline="0" multipleItemSelectionAllowed="1" showAll="0">
      <items>
        <item x="0"/>
        <item x="1"/>
        <item x="2"/>
        <item x="3"/>
        <item x="4"/>
        <item x="5"/>
        <item x="6"/>
        <item x="7"/>
        <item x="8"/>
        <item x="9"/>
        <item x="10"/>
        <item x="11"/>
        <item x="12"/>
        <item t="default"/>
      </items>
    </pivotField>
    <pivotField name="Employee Code" compact="0" outline="0" multipleItemSelectionAllowed="1" showAll="0">
      <items>
        <item x="0"/>
        <item x="1"/>
        <item x="2"/>
        <item x="3"/>
        <item x="4"/>
        <item x="5"/>
        <item x="6"/>
        <item x="7"/>
        <item x="8"/>
        <item x="9"/>
        <item x="10"/>
        <item x="11"/>
        <item x="12"/>
        <item t="default"/>
      </items>
    </pivotField>
    <pivotField name="Chargecode" compact="0" outline="0" multipleItemSelectionAllowed="1" showAll="0">
      <items>
        <item x="0"/>
        <item t="default"/>
      </items>
    </pivotField>
    <pivotField name="BU" compact="0" outline="0" multipleItemSelectionAllowed="1" showAll="0">
      <items>
        <item x="0"/>
        <item x="1"/>
        <item t="default"/>
      </items>
    </pivotField>
    <pivotField name="Capability 1" compact="0" outline="0" multipleItemSelectionAllowed="1" showAll="0">
      <items>
        <item x="0"/>
        <item x="1"/>
        <item x="2"/>
        <item t="default"/>
      </items>
    </pivotField>
    <pivotField name="Capability 2" compact="0" outline="0" multipleItemSelectionAllowed="1" showAll="0">
      <items>
        <item x="0"/>
        <item x="1"/>
        <item x="2"/>
        <item x="3"/>
        <item x="4"/>
        <item t="default"/>
      </items>
    </pivotField>
    <pivotField name="Resource Name" compact="0" outline="0" multipleItemSelectionAllowed="1" showAll="0">
      <items>
        <item x="0"/>
        <item x="1"/>
        <item x="2"/>
        <item x="3"/>
        <item x="4"/>
        <item x="5"/>
        <item x="6"/>
        <item x="7"/>
        <item x="8"/>
        <item x="9"/>
        <item x="10"/>
        <item x="11"/>
        <item x="12"/>
        <item t="default"/>
      </items>
    </pivotField>
    <pivotField name="Actual Resource Role" axis="axisRow" compact="0" outline="0" multipleItemSelectionAllowed="1" showAll="0" sortType="ascending">
      <items>
        <item x="1"/>
        <item x="3"/>
        <item x="4"/>
        <item x="0"/>
        <item x="6"/>
        <item x="5"/>
        <item x="2"/>
        <item t="default"/>
      </items>
    </pivotField>
    <pivotField name="Offshore/Onshore" axis="axisCol" compact="0" outline="0" multipleItemSelectionAllowed="1" showAll="0" sortType="ascending">
      <items>
        <item x="0"/>
        <item x="1"/>
        <item t="default"/>
      </items>
    </pivotField>
    <pivotField name="Resource Type" compact="0" outline="0" multipleItemSelectionAllowed="1" showAll="0">
      <items>
        <item x="0"/>
        <item x="1"/>
        <item t="default"/>
      </items>
    </pivotField>
    <pivotField name="B/NB" compact="0" outline="0" multipleItemSelectionAllowed="1" showAll="0">
      <items>
        <item x="0"/>
        <item x="1"/>
        <item t="default"/>
      </items>
    </pivotField>
    <pivotField name="PO" compact="0" numFmtId="49" outline="0" multipleItemSelectionAllowed="1" showAll="0">
      <items>
        <item x="0"/>
        <item t="default"/>
      </items>
    </pivotField>
    <pivotField name="PO From" compact="0" numFmtId="49" outline="0" multipleItemSelectionAllowed="1" showAll="0">
      <items>
        <item x="0"/>
        <item t="default"/>
      </items>
    </pivotField>
    <pivotField name="PO To" compact="0" numFmtId="49" outline="0" multipleItemSelectionAllowed="1" showAll="0">
      <items>
        <item x="0"/>
        <item t="default"/>
      </items>
    </pivotField>
    <pivotField name="PO Status" compact="0" numFmtId="164" outline="0" multipleItemSelectionAllowed="1" showAll="0">
      <items>
        <item x="0"/>
        <item t="default"/>
      </items>
    </pivotField>
    <pivotField name="Total Billed Hrs Cumulative" compact="0" outline="0" multipleItemSelectionAllowed="1" showAll="0">
      <items>
        <item x="0"/>
        <item x="1"/>
        <item x="2"/>
        <item t="default"/>
      </items>
    </pivotField>
    <pivotField name="Billed Hours Till July 24" compact="0" outline="0" multipleItemSelectionAllowed="1" showAll="0">
      <items>
        <item x="0"/>
        <item x="1"/>
        <item x="2"/>
        <item t="default"/>
      </items>
    </pivotField>
    <pivotField name="Billed Hrs Jan'25" compact="0" outline="0" multipleItemSelectionAllowed="1" showAll="0">
      <items>
        <item x="0"/>
        <item t="default"/>
      </items>
    </pivotField>
    <pivotField name="Billed Hrs Feb'25" compact="0" outline="0" multipleItemSelectionAllowed="1" showAll="0">
      <items>
        <item x="0"/>
        <item t="default"/>
      </items>
    </pivotField>
  </pivotFields>
  <rowFields>
    <field x="7"/>
  </rowFields>
  <colFields>
    <field x="8"/>
  </colFields>
</pivotTableDefinition>
</file>

<file path=xl/pivotTables/pivotTable5.xml><?xml version="1.0" encoding="utf-8"?>
<pivotTableDefinition xmlns="http://schemas.openxmlformats.org/spreadsheetml/2006/main" name="Pivot Table  5" cacheId="1" dataCaption="" compact="0" compactData="0">
  <location ref="B30:E39" firstHeaderRow="0" firstDataRow="1" firstDataCol="1"/>
  <pivotFields>
    <pivotField name="SR No" compact="0" outline="0" multipleItemSelectionAllowed="1" showAll="0">
      <items>
        <item x="0"/>
        <item x="1"/>
        <item x="2"/>
        <item x="3"/>
        <item x="4"/>
        <item x="5"/>
        <item x="6"/>
        <item x="7"/>
        <item x="8"/>
        <item x="9"/>
        <item x="10"/>
        <item x="11"/>
        <item x="12"/>
        <item t="default"/>
      </items>
    </pivotField>
    <pivotField name="Employee Code" compact="0" outline="0" multipleItemSelectionAllowed="1" showAll="0">
      <items>
        <item x="0"/>
        <item x="1"/>
        <item x="2"/>
        <item x="3"/>
        <item x="4"/>
        <item x="5"/>
        <item x="6"/>
        <item x="7"/>
        <item x="8"/>
        <item x="9"/>
        <item x="10"/>
        <item x="11"/>
        <item x="12"/>
        <item t="default"/>
      </items>
    </pivotField>
    <pivotField name="Chargecode" compact="0" outline="0" multipleItemSelectionAllowed="1" showAll="0">
      <items>
        <item x="0"/>
        <item t="default"/>
      </items>
    </pivotField>
    <pivotField name="BU" compact="0" outline="0" multipleItemSelectionAllowed="1" showAll="0">
      <items>
        <item x="0"/>
        <item x="1"/>
        <item t="default"/>
      </items>
    </pivotField>
    <pivotField name="Capability 1" compact="0" outline="0" multipleItemSelectionAllowed="1" showAll="0">
      <items>
        <item x="0"/>
        <item x="1"/>
        <item x="2"/>
        <item t="default"/>
      </items>
    </pivotField>
    <pivotField name="Capability 2" compact="0" outline="0" multipleItemSelectionAllowed="1" showAll="0">
      <items>
        <item x="0"/>
        <item x="1"/>
        <item x="2"/>
        <item x="3"/>
        <item x="4"/>
        <item t="default"/>
      </items>
    </pivotField>
    <pivotField name="Resource Name" compact="0" outline="0" multipleItemSelectionAllowed="1" showAll="0">
      <items>
        <item x="0"/>
        <item x="1"/>
        <item x="2"/>
        <item x="3"/>
        <item x="4"/>
        <item x="5"/>
        <item x="6"/>
        <item x="7"/>
        <item x="8"/>
        <item x="9"/>
        <item x="10"/>
        <item x="11"/>
        <item x="12"/>
        <item t="default"/>
      </items>
    </pivotField>
    <pivotField name="Actual Resource Role" axis="axisRow" compact="0" outline="0" multipleItemSelectionAllowed="1" showAll="0" sortType="ascending">
      <items>
        <item x="1"/>
        <item x="3"/>
        <item x="4"/>
        <item x="0"/>
        <item x="6"/>
        <item x="5"/>
        <item x="2"/>
        <item t="default"/>
      </items>
    </pivotField>
    <pivotField name="Offshore/Onshore" compact="0" outline="0" multipleItemSelectionAllowed="1" showAll="0">
      <items>
        <item x="0"/>
        <item x="1"/>
        <item t="default"/>
      </items>
    </pivotField>
    <pivotField name="Resource Type" compact="0" outline="0" multipleItemSelectionAllowed="1" showAll="0">
      <items>
        <item x="0"/>
        <item x="1"/>
        <item t="default"/>
      </items>
    </pivotField>
    <pivotField name="B/NB" axis="axisCol" compact="0" outline="0" multipleItemSelectionAllowed="1" showAll="0" sortType="ascending">
      <items>
        <item x="0"/>
        <item x="1"/>
        <item t="default"/>
      </items>
    </pivotField>
    <pivotField name="PO" compact="0" numFmtId="49" outline="0" multipleItemSelectionAllowed="1" showAll="0">
      <items>
        <item x="0"/>
        <item t="default"/>
      </items>
    </pivotField>
    <pivotField name="PO From" compact="0" numFmtId="49" outline="0" multipleItemSelectionAllowed="1" showAll="0">
      <items>
        <item x="0"/>
        <item t="default"/>
      </items>
    </pivotField>
    <pivotField name="PO To" compact="0" numFmtId="49" outline="0" multipleItemSelectionAllowed="1" showAll="0">
      <items>
        <item x="0"/>
        <item t="default"/>
      </items>
    </pivotField>
    <pivotField name="PO Status" compact="0" numFmtId="164" outline="0" multipleItemSelectionAllowed="1" showAll="0">
      <items>
        <item x="0"/>
        <item t="default"/>
      </items>
    </pivotField>
    <pivotField name="Total Billed Hrs Cumulative" compact="0" outline="0" multipleItemSelectionAllowed="1" showAll="0">
      <items>
        <item x="0"/>
        <item x="1"/>
        <item x="2"/>
        <item t="default"/>
      </items>
    </pivotField>
    <pivotField name="Billed Hours Till July 24" compact="0" outline="0" multipleItemSelectionAllowed="1" showAll="0">
      <items>
        <item x="0"/>
        <item x="1"/>
        <item x="2"/>
        <item t="default"/>
      </items>
    </pivotField>
    <pivotField name="Billed Hrs Jan'25" compact="0" outline="0" multipleItemSelectionAllowed="1" showAll="0">
      <items>
        <item x="0"/>
        <item t="default"/>
      </items>
    </pivotField>
    <pivotField name="Billed Hrs Feb'25" compact="0" outline="0" multipleItemSelectionAllowed="1" showAll="0">
      <items>
        <item x="0"/>
        <item t="default"/>
      </items>
    </pivotField>
  </pivotFields>
  <rowFields>
    <field x="7"/>
  </rowFields>
  <colFields>
    <field x="10"/>
  </colFields>
</pivotTableDefinition>
</file>

<file path=xl/pivotTables/pivotTable6.xml><?xml version="1.0" encoding="utf-8"?>
<pivotTableDefinition xmlns="http://schemas.openxmlformats.org/spreadsheetml/2006/main" name="Pivot Table  6" cacheId="1" dataCaption="" compact="0" compactData="0">
  <location ref="B44:C52" firstHeaderRow="0" firstDataRow="1" firstDataCol="0"/>
  <pivotFields>
    <pivotField name="SR No" compact="0" outline="0" multipleItemSelectionAllowed="1" showAll="0">
      <items>
        <item x="0"/>
        <item x="1"/>
        <item x="2"/>
        <item x="3"/>
        <item x="4"/>
        <item x="5"/>
        <item x="6"/>
        <item x="7"/>
        <item x="8"/>
        <item x="9"/>
        <item x="10"/>
        <item x="11"/>
        <item x="12"/>
        <item t="default"/>
      </items>
    </pivotField>
    <pivotField name="Employee Code" compact="0" outline="0" multipleItemSelectionAllowed="1" showAll="0">
      <items>
        <item x="0"/>
        <item x="1"/>
        <item x="2"/>
        <item x="3"/>
        <item x="4"/>
        <item x="5"/>
        <item x="6"/>
        <item x="7"/>
        <item x="8"/>
        <item x="9"/>
        <item x="10"/>
        <item x="11"/>
        <item x="12"/>
        <item t="default"/>
      </items>
    </pivotField>
    <pivotField name="Chargecode" compact="0" outline="0" multipleItemSelectionAllowed="1" showAll="0">
      <items>
        <item x="0"/>
        <item t="default"/>
      </items>
    </pivotField>
    <pivotField name="BU" compact="0" outline="0" multipleItemSelectionAllowed="1" showAll="0">
      <items>
        <item x="0"/>
        <item x="1"/>
        <item t="default"/>
      </items>
    </pivotField>
    <pivotField name="Capability 1" compact="0" outline="0" multipleItemSelectionAllowed="1" showAll="0">
      <items>
        <item x="0"/>
        <item x="1"/>
        <item x="2"/>
        <item t="default"/>
      </items>
    </pivotField>
    <pivotField name="Capability 2" compact="0" outline="0" multipleItemSelectionAllowed="1" showAll="0">
      <items>
        <item x="0"/>
        <item x="1"/>
        <item x="2"/>
        <item x="3"/>
        <item x="4"/>
        <item t="default"/>
      </items>
    </pivotField>
    <pivotField name="Resource Name" compact="0" outline="0" multipleItemSelectionAllowed="1" showAll="0">
      <items>
        <item x="0"/>
        <item x="1"/>
        <item x="2"/>
        <item x="3"/>
        <item x="4"/>
        <item x="5"/>
        <item x="6"/>
        <item x="7"/>
        <item x="8"/>
        <item x="9"/>
        <item x="10"/>
        <item x="11"/>
        <item x="12"/>
        <item t="default"/>
      </items>
    </pivotField>
    <pivotField name="Actual Resource Role" axis="axisRow" compact="0" outline="0" multipleItemSelectionAllowed="1" showAll="0" sortType="ascending">
      <items>
        <item x="1"/>
        <item x="3"/>
        <item x="4"/>
        <item x="0"/>
        <item x="6"/>
        <item x="5"/>
        <item x="2"/>
        <item t="default"/>
      </items>
    </pivotField>
    <pivotField name="Offshore/Onshore" compact="0" outline="0" multipleItemSelectionAllowed="1" showAll="0">
      <items>
        <item x="0"/>
        <item x="1"/>
        <item t="default"/>
      </items>
    </pivotField>
    <pivotField name="Resource Type" compact="0" outline="0" multipleItemSelectionAllowed="1" showAll="0">
      <items>
        <item x="0"/>
        <item x="1"/>
        <item t="default"/>
      </items>
    </pivotField>
    <pivotField name="B/NB" compact="0" outline="0" multipleItemSelectionAllowed="1" showAll="0">
      <items>
        <item x="0"/>
        <item x="1"/>
        <item t="default"/>
      </items>
    </pivotField>
    <pivotField name="PO" compact="0" numFmtId="49" outline="0" multipleItemSelectionAllowed="1" showAll="0">
      <items>
        <item x="0"/>
        <item t="default"/>
      </items>
    </pivotField>
    <pivotField name="PO From" compact="0" numFmtId="49" outline="0" multipleItemSelectionAllowed="1" showAll="0">
      <items>
        <item x="0"/>
        <item t="default"/>
      </items>
    </pivotField>
    <pivotField name="PO To" compact="0" numFmtId="49" outline="0" multipleItemSelectionAllowed="1" showAll="0">
      <items>
        <item x="0"/>
        <item t="default"/>
      </items>
    </pivotField>
    <pivotField name="PO Status" compact="0" numFmtId="164" outline="0" multipleItemSelectionAllowed="1" showAll="0">
      <items>
        <item x="0"/>
        <item t="default"/>
      </items>
    </pivotField>
    <pivotField name="Total Billed Hrs Cumulative" compact="0" outline="0" multipleItemSelectionAllowed="1" showAll="0">
      <items>
        <item x="0"/>
        <item x="1"/>
        <item x="2"/>
        <item t="default"/>
      </items>
    </pivotField>
    <pivotField name="Billed Hours Till July 24" compact="0" outline="0" multipleItemSelectionAllowed="1" showAll="0">
      <items>
        <item x="0"/>
        <item x="1"/>
        <item x="2"/>
        <item t="default"/>
      </items>
    </pivotField>
    <pivotField name="Billed Hrs Jan'25" compact="0" outline="0" multipleItemSelectionAllowed="1" showAll="0">
      <items>
        <item x="0"/>
        <item t="default"/>
      </items>
    </pivotField>
    <pivotField name="Billed Hrs Feb'25" compact="0" outline="0" multipleItemSelectionAllowed="1" showAll="0">
      <items>
        <item x="0"/>
        <item t="default"/>
      </items>
    </pivotField>
  </pivotFields>
  <rowFields>
    <field x="7"/>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F6gV_FPu0NYkGXWkvyYPjlhhkTsPSx2sm_T8wJ-T3WU/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3"/>
    <col customWidth="1" min="2" max="2" width="170.38"/>
  </cols>
  <sheetData>
    <row r="1">
      <c r="A1" s="1"/>
      <c r="B1" s="2" t="s">
        <v>0</v>
      </c>
    </row>
    <row r="2">
      <c r="A2" s="1">
        <v>1.0</v>
      </c>
      <c r="B2" s="1" t="s">
        <v>1</v>
      </c>
    </row>
    <row r="3">
      <c r="A3" s="1">
        <v>2.0</v>
      </c>
      <c r="B3" s="3" t="s">
        <v>2</v>
      </c>
    </row>
    <row r="4">
      <c r="A4" s="1">
        <v>3.0</v>
      </c>
      <c r="B4" s="3" t="s">
        <v>3</v>
      </c>
    </row>
    <row r="5">
      <c r="A5" s="1">
        <v>4.0</v>
      </c>
      <c r="B5" s="3" t="s">
        <v>4</v>
      </c>
    </row>
    <row r="6">
      <c r="A6" s="1">
        <v>5.0</v>
      </c>
      <c r="B6" s="4" t="s">
        <v>5</v>
      </c>
    </row>
    <row r="7">
      <c r="A7" s="1">
        <v>6.0</v>
      </c>
      <c r="B7" s="3" t="s">
        <v>6</v>
      </c>
    </row>
    <row r="8">
      <c r="A8" s="1">
        <v>7.0</v>
      </c>
      <c r="B8" s="3" t="s">
        <v>7</v>
      </c>
    </row>
    <row r="9">
      <c r="A9" s="1">
        <v>8.0</v>
      </c>
      <c r="B9" s="1" t="s">
        <v>8</v>
      </c>
    </row>
    <row r="10">
      <c r="A10" s="1">
        <v>11.0</v>
      </c>
      <c r="B10" s="3" t="s">
        <v>9</v>
      </c>
    </row>
    <row r="11">
      <c r="A11" s="1">
        <v>12.0</v>
      </c>
      <c r="B11" s="4" t="s">
        <v>10</v>
      </c>
    </row>
    <row r="12">
      <c r="A12" s="1">
        <v>13.0</v>
      </c>
      <c r="B12" s="3" t="s">
        <v>11</v>
      </c>
    </row>
    <row r="13">
      <c r="A13" s="1">
        <v>14.0</v>
      </c>
      <c r="B13" s="1" t="s">
        <v>12</v>
      </c>
    </row>
    <row r="14">
      <c r="A14" s="1"/>
      <c r="B14" s="1"/>
    </row>
  </sheetData>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2.63" defaultRowHeight="15.0"/>
  <cols>
    <col customWidth="1" min="1" max="1" width="1.75"/>
    <col customWidth="1" min="2" max="2" width="5.5"/>
    <col customWidth="1" min="3" max="3" width="12.75"/>
    <col customWidth="1" min="4" max="4" width="9.88"/>
    <col customWidth="1" min="5" max="5" width="6.88"/>
    <col customWidth="1" min="6" max="6" width="10.0"/>
    <col customWidth="1" min="7" max="7" width="15.13"/>
    <col customWidth="1" min="8" max="8" width="12.88"/>
    <col customWidth="1" min="9" max="9" width="13.25"/>
    <col customWidth="1" min="10" max="10" width="0.38"/>
    <col customWidth="1" min="11" max="11" width="14.88"/>
    <col customWidth="1" min="12" max="12" width="7.88"/>
    <col customWidth="1" min="13" max="16" width="9.25"/>
    <col customWidth="1" min="18" max="18" width="11.63"/>
    <col customWidth="1" min="19" max="19" width="9.75"/>
    <col customWidth="1" min="20" max="20" width="10.25"/>
  </cols>
  <sheetData>
    <row r="1" ht="9.0" customHeight="1">
      <c r="A1" s="5"/>
      <c r="B1" s="6"/>
      <c r="C1" s="6"/>
      <c r="D1" s="6"/>
      <c r="E1" s="6"/>
      <c r="F1" s="6"/>
      <c r="G1" s="6"/>
      <c r="H1" s="6"/>
      <c r="I1" s="6"/>
      <c r="J1" s="7"/>
      <c r="K1" s="7"/>
      <c r="L1" s="7"/>
      <c r="M1" s="7"/>
      <c r="N1" s="7"/>
      <c r="O1" s="7"/>
      <c r="P1" s="7"/>
      <c r="Q1" s="6"/>
      <c r="R1" s="8"/>
      <c r="S1" s="8"/>
      <c r="T1" s="8"/>
      <c r="U1" s="9"/>
      <c r="V1" s="10"/>
      <c r="W1" s="10"/>
      <c r="X1" s="10"/>
      <c r="Y1" s="10"/>
      <c r="Z1" s="10"/>
      <c r="AA1" s="10"/>
      <c r="AB1" s="10"/>
      <c r="AC1" s="10"/>
      <c r="AD1" s="10"/>
      <c r="AE1" s="10"/>
    </row>
    <row r="2" ht="42.0" customHeight="1">
      <c r="A2" s="11"/>
      <c r="B2" s="12" t="s">
        <v>13</v>
      </c>
      <c r="C2" s="12" t="s">
        <v>14</v>
      </c>
      <c r="D2" s="12" t="s">
        <v>15</v>
      </c>
      <c r="E2" s="12" t="s">
        <v>16</v>
      </c>
      <c r="F2" s="12" t="s">
        <v>17</v>
      </c>
      <c r="G2" s="12" t="s">
        <v>18</v>
      </c>
      <c r="H2" s="12" t="s">
        <v>19</v>
      </c>
      <c r="I2" s="12" t="s">
        <v>20</v>
      </c>
      <c r="J2" s="13" t="s">
        <v>21</v>
      </c>
      <c r="K2" s="13" t="s">
        <v>22</v>
      </c>
      <c r="L2" s="13" t="s">
        <v>23</v>
      </c>
      <c r="M2" s="13" t="s">
        <v>24</v>
      </c>
      <c r="N2" s="13" t="s">
        <v>25</v>
      </c>
      <c r="O2" s="13" t="s">
        <v>26</v>
      </c>
      <c r="P2" s="13" t="s">
        <v>27</v>
      </c>
      <c r="Q2" s="14" t="s">
        <v>28</v>
      </c>
      <c r="R2" s="15" t="s">
        <v>29</v>
      </c>
      <c r="S2" s="15" t="s">
        <v>30</v>
      </c>
      <c r="T2" s="15" t="s">
        <v>31</v>
      </c>
      <c r="U2" s="9"/>
      <c r="V2" s="10"/>
      <c r="W2" s="10"/>
      <c r="X2" s="10"/>
      <c r="Y2" s="10"/>
      <c r="Z2" s="10"/>
      <c r="AA2" s="10"/>
      <c r="AB2" s="10"/>
      <c r="AC2" s="10"/>
      <c r="AD2" s="10"/>
      <c r="AE2" s="10"/>
    </row>
    <row r="3" ht="15.75" customHeight="1">
      <c r="A3" s="16"/>
      <c r="B3" s="17">
        <v>1.0</v>
      </c>
      <c r="C3" s="17">
        <v>1011.0</v>
      </c>
      <c r="D3" s="17"/>
      <c r="E3" s="17" t="s">
        <v>32</v>
      </c>
      <c r="F3" s="17" t="s">
        <v>33</v>
      </c>
      <c r="G3" s="17" t="s">
        <v>34</v>
      </c>
      <c r="H3" s="17" t="s">
        <v>35</v>
      </c>
      <c r="I3" s="17" t="s">
        <v>36</v>
      </c>
      <c r="J3" s="17" t="s">
        <v>37</v>
      </c>
      <c r="K3" s="17" t="s">
        <v>38</v>
      </c>
      <c r="L3" s="17" t="s">
        <v>39</v>
      </c>
      <c r="M3" s="18" t="s">
        <v>40</v>
      </c>
      <c r="N3" s="18" t="s">
        <v>41</v>
      </c>
      <c r="O3" s="18" t="s">
        <v>42</v>
      </c>
      <c r="P3" s="19" t="s">
        <v>43</v>
      </c>
      <c r="Q3" s="20">
        <f t="shared" ref="Q3:Q25" si="1">sum(R3:T3)</f>
        <v>100</v>
      </c>
      <c r="R3" s="21">
        <v>100.0</v>
      </c>
      <c r="S3" s="22"/>
      <c r="T3" s="22"/>
      <c r="U3" s="9"/>
      <c r="V3" s="10"/>
      <c r="W3" s="10"/>
      <c r="X3" s="10"/>
      <c r="Y3" s="10"/>
      <c r="Z3" s="10"/>
      <c r="AA3" s="10"/>
      <c r="AB3" s="10"/>
      <c r="AC3" s="10"/>
      <c r="AD3" s="10"/>
      <c r="AE3" s="10"/>
    </row>
    <row r="4" ht="15.75" customHeight="1">
      <c r="A4" s="16"/>
      <c r="B4" s="17">
        <v>2.0</v>
      </c>
      <c r="C4" s="17">
        <v>1012.0</v>
      </c>
      <c r="D4" s="17"/>
      <c r="E4" s="17" t="s">
        <v>32</v>
      </c>
      <c r="F4" s="17" t="s">
        <v>44</v>
      </c>
      <c r="G4" s="17" t="s">
        <v>45</v>
      </c>
      <c r="H4" s="17" t="s">
        <v>46</v>
      </c>
      <c r="I4" s="17" t="s">
        <v>47</v>
      </c>
      <c r="J4" s="17" t="s">
        <v>48</v>
      </c>
      <c r="K4" s="17" t="s">
        <v>38</v>
      </c>
      <c r="L4" s="17" t="s">
        <v>39</v>
      </c>
      <c r="M4" s="18" t="s">
        <v>40</v>
      </c>
      <c r="N4" s="18" t="s">
        <v>41</v>
      </c>
      <c r="O4" s="18" t="s">
        <v>42</v>
      </c>
      <c r="P4" s="19" t="s">
        <v>43</v>
      </c>
      <c r="Q4" s="20">
        <f t="shared" si="1"/>
        <v>50</v>
      </c>
      <c r="R4" s="21">
        <v>50.0</v>
      </c>
      <c r="S4" s="21"/>
      <c r="T4" s="22"/>
      <c r="U4" s="10"/>
      <c r="V4" s="10"/>
      <c r="W4" s="10"/>
      <c r="X4" s="10"/>
      <c r="Y4" s="10"/>
      <c r="Z4" s="10"/>
      <c r="AA4" s="10"/>
      <c r="AB4" s="10"/>
      <c r="AC4" s="10"/>
      <c r="AD4" s="10"/>
      <c r="AE4" s="10"/>
    </row>
    <row r="5" ht="15.75" customHeight="1">
      <c r="A5" s="16"/>
      <c r="B5" s="17">
        <v>3.0</v>
      </c>
      <c r="C5" s="17">
        <v>1013.0</v>
      </c>
      <c r="D5" s="17"/>
      <c r="E5" s="17" t="s">
        <v>32</v>
      </c>
      <c r="F5" s="17" t="s">
        <v>44</v>
      </c>
      <c r="G5" s="17" t="s">
        <v>49</v>
      </c>
      <c r="H5" s="17" t="s">
        <v>50</v>
      </c>
      <c r="I5" s="17" t="s">
        <v>51</v>
      </c>
      <c r="J5" s="17" t="s">
        <v>48</v>
      </c>
      <c r="K5" s="17" t="s">
        <v>38</v>
      </c>
      <c r="L5" s="17" t="s">
        <v>39</v>
      </c>
      <c r="M5" s="18" t="s">
        <v>40</v>
      </c>
      <c r="N5" s="18" t="s">
        <v>41</v>
      </c>
      <c r="O5" s="18" t="s">
        <v>42</v>
      </c>
      <c r="P5" s="19" t="s">
        <v>43</v>
      </c>
      <c r="Q5" s="20">
        <f t="shared" si="1"/>
        <v>50</v>
      </c>
      <c r="R5" s="21">
        <v>50.0</v>
      </c>
      <c r="S5" s="21"/>
      <c r="T5" s="22"/>
      <c r="U5" s="10"/>
      <c r="V5" s="10"/>
      <c r="W5" s="10"/>
      <c r="X5" s="10"/>
      <c r="Y5" s="10"/>
      <c r="Z5" s="10"/>
      <c r="AA5" s="10"/>
      <c r="AB5" s="10"/>
      <c r="AC5" s="10"/>
      <c r="AD5" s="10"/>
      <c r="AE5" s="10"/>
    </row>
    <row r="6" ht="15.75" customHeight="1">
      <c r="A6" s="16"/>
      <c r="B6" s="17">
        <v>4.0</v>
      </c>
      <c r="C6" s="17">
        <v>1014.0</v>
      </c>
      <c r="D6" s="17"/>
      <c r="E6" s="17" t="s">
        <v>32</v>
      </c>
      <c r="F6" s="17" t="s">
        <v>33</v>
      </c>
      <c r="G6" s="17" t="s">
        <v>52</v>
      </c>
      <c r="H6" s="17" t="s">
        <v>53</v>
      </c>
      <c r="I6" s="17" t="s">
        <v>54</v>
      </c>
      <c r="J6" s="17" t="s">
        <v>37</v>
      </c>
      <c r="K6" s="17" t="s">
        <v>55</v>
      </c>
      <c r="L6" s="17" t="s">
        <v>39</v>
      </c>
      <c r="M6" s="18" t="s">
        <v>40</v>
      </c>
      <c r="N6" s="18" t="s">
        <v>41</v>
      </c>
      <c r="O6" s="18" t="s">
        <v>42</v>
      </c>
      <c r="P6" s="19" t="s">
        <v>43</v>
      </c>
      <c r="Q6" s="20">
        <f t="shared" si="1"/>
        <v>50</v>
      </c>
      <c r="R6" s="21">
        <v>50.0</v>
      </c>
      <c r="S6" s="21"/>
      <c r="T6" s="22"/>
      <c r="U6" s="10"/>
      <c r="V6" s="10"/>
      <c r="W6" s="10"/>
      <c r="X6" s="10"/>
      <c r="Y6" s="10"/>
      <c r="Z6" s="10"/>
      <c r="AA6" s="10"/>
      <c r="AB6" s="10"/>
      <c r="AC6" s="10"/>
      <c r="AD6" s="10"/>
      <c r="AE6" s="10"/>
    </row>
    <row r="7" ht="15.75" customHeight="1">
      <c r="A7" s="16"/>
      <c r="B7" s="17">
        <v>5.0</v>
      </c>
      <c r="C7" s="17">
        <v>1015.0</v>
      </c>
      <c r="D7" s="17"/>
      <c r="E7" s="17"/>
      <c r="F7" s="17"/>
      <c r="G7" s="17"/>
      <c r="H7" s="17" t="s">
        <v>56</v>
      </c>
      <c r="I7" s="17" t="s">
        <v>54</v>
      </c>
      <c r="J7" s="17" t="s">
        <v>37</v>
      </c>
      <c r="K7" s="17" t="s">
        <v>55</v>
      </c>
      <c r="L7" s="17" t="s">
        <v>57</v>
      </c>
      <c r="M7" s="18" t="s">
        <v>40</v>
      </c>
      <c r="N7" s="18" t="s">
        <v>41</v>
      </c>
      <c r="O7" s="18" t="s">
        <v>42</v>
      </c>
      <c r="P7" s="19" t="s">
        <v>43</v>
      </c>
      <c r="Q7" s="20">
        <f t="shared" si="1"/>
        <v>0</v>
      </c>
      <c r="R7" s="21"/>
      <c r="S7" s="21"/>
      <c r="T7" s="22"/>
      <c r="U7" s="23">
        <v>19.0</v>
      </c>
      <c r="V7" s="10"/>
      <c r="W7" s="10"/>
      <c r="X7" s="10"/>
      <c r="Y7" s="10"/>
      <c r="Z7" s="10"/>
      <c r="AA7" s="10"/>
      <c r="AB7" s="10"/>
      <c r="AC7" s="10"/>
      <c r="AD7" s="10"/>
      <c r="AE7" s="10"/>
    </row>
    <row r="8" ht="15.75" customHeight="1">
      <c r="A8" s="16"/>
      <c r="B8" s="17">
        <v>6.0</v>
      </c>
      <c r="C8" s="17">
        <v>1016.0</v>
      </c>
      <c r="D8" s="17"/>
      <c r="E8" s="17"/>
      <c r="F8" s="17"/>
      <c r="G8" s="17"/>
      <c r="H8" s="17" t="s">
        <v>58</v>
      </c>
      <c r="I8" s="17" t="s">
        <v>54</v>
      </c>
      <c r="J8" s="17" t="s">
        <v>37</v>
      </c>
      <c r="K8" s="17" t="s">
        <v>38</v>
      </c>
      <c r="L8" s="17" t="s">
        <v>39</v>
      </c>
      <c r="M8" s="18" t="s">
        <v>40</v>
      </c>
      <c r="N8" s="18" t="s">
        <v>41</v>
      </c>
      <c r="O8" s="18" t="s">
        <v>42</v>
      </c>
      <c r="P8" s="19" t="s">
        <v>43</v>
      </c>
      <c r="Q8" s="20">
        <f t="shared" si="1"/>
        <v>50</v>
      </c>
      <c r="R8" s="21">
        <v>50.0</v>
      </c>
      <c r="S8" s="21"/>
      <c r="T8" s="22"/>
      <c r="U8" s="23">
        <v>20.0</v>
      </c>
      <c r="V8" s="10"/>
      <c r="W8" s="10"/>
      <c r="X8" s="10"/>
      <c r="Y8" s="10"/>
      <c r="Z8" s="10"/>
      <c r="AA8" s="10"/>
      <c r="AB8" s="10"/>
      <c r="AC8" s="10"/>
      <c r="AD8" s="10"/>
      <c r="AE8" s="10"/>
    </row>
    <row r="9" ht="15.75" customHeight="1">
      <c r="A9" s="16"/>
      <c r="B9" s="17">
        <v>7.0</v>
      </c>
      <c r="C9" s="17">
        <v>1017.0</v>
      </c>
      <c r="D9" s="17"/>
      <c r="E9" s="17"/>
      <c r="F9" s="17"/>
      <c r="G9" s="17"/>
      <c r="H9" s="17" t="s">
        <v>59</v>
      </c>
      <c r="I9" s="17" t="s">
        <v>54</v>
      </c>
      <c r="J9" s="17" t="s">
        <v>37</v>
      </c>
      <c r="K9" s="17" t="s">
        <v>38</v>
      </c>
      <c r="L9" s="17" t="s">
        <v>39</v>
      </c>
      <c r="M9" s="18" t="s">
        <v>40</v>
      </c>
      <c r="N9" s="18" t="s">
        <v>41</v>
      </c>
      <c r="O9" s="18" t="s">
        <v>42</v>
      </c>
      <c r="P9" s="19" t="s">
        <v>43</v>
      </c>
      <c r="Q9" s="20">
        <f t="shared" si="1"/>
        <v>50</v>
      </c>
      <c r="R9" s="21">
        <v>50.0</v>
      </c>
      <c r="S9" s="21"/>
      <c r="T9" s="22"/>
      <c r="U9" s="10"/>
      <c r="V9" s="10"/>
      <c r="W9" s="10"/>
      <c r="X9" s="10"/>
      <c r="Y9" s="10"/>
      <c r="Z9" s="10"/>
      <c r="AA9" s="10"/>
      <c r="AB9" s="10"/>
      <c r="AC9" s="10"/>
      <c r="AD9" s="10"/>
      <c r="AE9" s="10"/>
    </row>
    <row r="10" ht="15.75" customHeight="1">
      <c r="A10" s="16"/>
      <c r="B10" s="17">
        <v>8.0</v>
      </c>
      <c r="C10" s="17">
        <v>1018.0</v>
      </c>
      <c r="D10" s="17"/>
      <c r="E10" s="17"/>
      <c r="F10" s="17"/>
      <c r="G10" s="17"/>
      <c r="H10" s="17" t="s">
        <v>60</v>
      </c>
      <c r="I10" s="17" t="s">
        <v>61</v>
      </c>
      <c r="J10" s="17" t="s">
        <v>37</v>
      </c>
      <c r="K10" s="17" t="s">
        <v>38</v>
      </c>
      <c r="L10" s="17" t="s">
        <v>39</v>
      </c>
      <c r="M10" s="18" t="s">
        <v>40</v>
      </c>
      <c r="N10" s="18" t="s">
        <v>41</v>
      </c>
      <c r="O10" s="18" t="s">
        <v>42</v>
      </c>
      <c r="P10" s="19" t="s">
        <v>43</v>
      </c>
      <c r="Q10" s="20">
        <f t="shared" si="1"/>
        <v>50</v>
      </c>
      <c r="R10" s="21">
        <v>50.0</v>
      </c>
      <c r="S10" s="21"/>
      <c r="T10" s="22"/>
      <c r="U10" s="10"/>
      <c r="V10" s="10"/>
      <c r="W10" s="10"/>
      <c r="X10" s="10"/>
      <c r="Y10" s="10"/>
      <c r="Z10" s="10"/>
      <c r="AA10" s="10"/>
      <c r="AB10" s="10"/>
      <c r="AC10" s="10"/>
      <c r="AD10" s="10"/>
      <c r="AE10" s="10"/>
    </row>
    <row r="11" ht="15.75" customHeight="1">
      <c r="A11" s="16"/>
      <c r="B11" s="17">
        <v>9.0</v>
      </c>
      <c r="C11" s="17">
        <v>1019.0</v>
      </c>
      <c r="D11" s="17"/>
      <c r="E11" s="17"/>
      <c r="F11" s="17"/>
      <c r="G11" s="17"/>
      <c r="H11" s="17" t="s">
        <v>62</v>
      </c>
      <c r="I11" s="17" t="s">
        <v>61</v>
      </c>
      <c r="J11" s="17" t="s">
        <v>37</v>
      </c>
      <c r="K11" s="17" t="s">
        <v>38</v>
      </c>
      <c r="L11" s="17" t="s">
        <v>57</v>
      </c>
      <c r="M11" s="18" t="s">
        <v>40</v>
      </c>
      <c r="N11" s="18" t="s">
        <v>41</v>
      </c>
      <c r="O11" s="18" t="s">
        <v>42</v>
      </c>
      <c r="P11" s="19" t="s">
        <v>43</v>
      </c>
      <c r="Q11" s="20">
        <f t="shared" si="1"/>
        <v>0</v>
      </c>
      <c r="R11" s="21"/>
      <c r="S11" s="24"/>
      <c r="T11" s="22"/>
      <c r="U11" s="25"/>
      <c r="V11" s="25"/>
      <c r="W11" s="25"/>
      <c r="X11" s="25"/>
      <c r="Y11" s="25"/>
      <c r="Z11" s="25"/>
      <c r="AA11" s="25"/>
      <c r="AB11" s="25"/>
      <c r="AC11" s="25"/>
      <c r="AD11" s="25"/>
      <c r="AE11" s="25"/>
    </row>
    <row r="12" ht="15.75" customHeight="1">
      <c r="A12" s="16"/>
      <c r="B12" s="17">
        <v>10.0</v>
      </c>
      <c r="C12" s="17">
        <v>1020.0</v>
      </c>
      <c r="D12" s="17"/>
      <c r="E12" s="17"/>
      <c r="F12" s="17"/>
      <c r="G12" s="17"/>
      <c r="H12" s="17" t="s">
        <v>63</v>
      </c>
      <c r="I12" s="17" t="s">
        <v>64</v>
      </c>
      <c r="J12" s="17" t="s">
        <v>37</v>
      </c>
      <c r="K12" s="17" t="s">
        <v>38</v>
      </c>
      <c r="L12" s="17" t="s">
        <v>39</v>
      </c>
      <c r="M12" s="18" t="s">
        <v>40</v>
      </c>
      <c r="N12" s="18" t="s">
        <v>41</v>
      </c>
      <c r="O12" s="18" t="s">
        <v>42</v>
      </c>
      <c r="P12" s="19" t="s">
        <v>43</v>
      </c>
      <c r="Q12" s="20">
        <f t="shared" si="1"/>
        <v>50</v>
      </c>
      <c r="R12" s="21">
        <v>50.0</v>
      </c>
      <c r="S12" s="26"/>
      <c r="T12" s="22"/>
      <c r="U12" s="10"/>
      <c r="V12" s="10"/>
      <c r="W12" s="10"/>
      <c r="X12" s="10"/>
      <c r="Y12" s="10"/>
      <c r="Z12" s="10"/>
      <c r="AA12" s="10"/>
      <c r="AB12" s="10"/>
      <c r="AC12" s="10"/>
      <c r="AD12" s="10"/>
      <c r="AE12" s="10"/>
    </row>
    <row r="13" ht="15.75" customHeight="1">
      <c r="A13" s="16"/>
      <c r="B13" s="17">
        <v>11.0</v>
      </c>
      <c r="C13" s="17">
        <v>1021.0</v>
      </c>
      <c r="D13" s="17"/>
      <c r="E13" s="17"/>
      <c r="F13" s="17"/>
      <c r="G13" s="17"/>
      <c r="H13" s="17" t="s">
        <v>65</v>
      </c>
      <c r="I13" s="17" t="s">
        <v>66</v>
      </c>
      <c r="J13" s="17" t="s">
        <v>37</v>
      </c>
      <c r="K13" s="17" t="s">
        <v>38</v>
      </c>
      <c r="L13" s="17" t="s">
        <v>39</v>
      </c>
      <c r="M13" s="18" t="s">
        <v>40</v>
      </c>
      <c r="N13" s="18" t="s">
        <v>41</v>
      </c>
      <c r="O13" s="18" t="s">
        <v>42</v>
      </c>
      <c r="P13" s="19" t="s">
        <v>43</v>
      </c>
      <c r="Q13" s="20">
        <f t="shared" si="1"/>
        <v>50</v>
      </c>
      <c r="R13" s="21">
        <v>50.0</v>
      </c>
      <c r="S13" s="27"/>
      <c r="T13" s="22"/>
      <c r="U13" s="10"/>
      <c r="V13" s="10"/>
      <c r="W13" s="10"/>
      <c r="X13" s="10"/>
      <c r="Y13" s="10"/>
      <c r="Z13" s="10"/>
      <c r="AA13" s="10"/>
      <c r="AB13" s="10"/>
      <c r="AC13" s="10"/>
      <c r="AD13" s="10"/>
      <c r="AE13" s="10"/>
    </row>
    <row r="14" ht="15.75" customHeight="1">
      <c r="A14" s="16"/>
      <c r="B14" s="17">
        <v>12.0</v>
      </c>
      <c r="C14" s="17">
        <v>1022.0</v>
      </c>
      <c r="D14" s="17"/>
      <c r="E14" s="17"/>
      <c r="F14" s="17"/>
      <c r="G14" s="17"/>
      <c r="H14" s="17" t="s">
        <v>67</v>
      </c>
      <c r="I14" s="17" t="s">
        <v>66</v>
      </c>
      <c r="J14" s="17" t="s">
        <v>37</v>
      </c>
      <c r="K14" s="17" t="s">
        <v>38</v>
      </c>
      <c r="L14" s="17" t="s">
        <v>39</v>
      </c>
      <c r="M14" s="18" t="s">
        <v>40</v>
      </c>
      <c r="N14" s="18" t="s">
        <v>41</v>
      </c>
      <c r="O14" s="18" t="s">
        <v>42</v>
      </c>
      <c r="P14" s="19" t="s">
        <v>43</v>
      </c>
      <c r="Q14" s="20">
        <f t="shared" si="1"/>
        <v>50</v>
      </c>
      <c r="R14" s="21">
        <v>50.0</v>
      </c>
      <c r="S14" s="27"/>
      <c r="T14" s="22"/>
      <c r="U14" s="10"/>
      <c r="V14" s="10"/>
      <c r="W14" s="10"/>
      <c r="X14" s="10"/>
      <c r="Y14" s="10"/>
      <c r="Z14" s="10"/>
      <c r="AA14" s="10"/>
      <c r="AB14" s="10"/>
      <c r="AC14" s="10"/>
      <c r="AD14" s="10"/>
      <c r="AE14" s="10"/>
    </row>
    <row r="15" ht="15.75" customHeight="1">
      <c r="A15" s="16"/>
      <c r="B15" s="17">
        <v>13.0</v>
      </c>
      <c r="C15" s="17">
        <v>1023.0</v>
      </c>
      <c r="D15" s="17"/>
      <c r="E15" s="17"/>
      <c r="F15" s="17"/>
      <c r="G15" s="17"/>
      <c r="H15" s="17" t="s">
        <v>68</v>
      </c>
      <c r="I15" s="17" t="s">
        <v>66</v>
      </c>
      <c r="J15" s="17" t="s">
        <v>37</v>
      </c>
      <c r="K15" s="17" t="s">
        <v>38</v>
      </c>
      <c r="L15" s="17" t="s">
        <v>39</v>
      </c>
      <c r="M15" s="18" t="s">
        <v>40</v>
      </c>
      <c r="N15" s="18" t="s">
        <v>41</v>
      </c>
      <c r="O15" s="18" t="s">
        <v>42</v>
      </c>
      <c r="P15" s="19" t="s">
        <v>43</v>
      </c>
      <c r="Q15" s="20">
        <f t="shared" si="1"/>
        <v>50</v>
      </c>
      <c r="R15" s="21">
        <v>50.0</v>
      </c>
      <c r="S15" s="27"/>
      <c r="T15" s="22"/>
      <c r="U15" s="10"/>
      <c r="V15" s="10"/>
      <c r="W15" s="10"/>
      <c r="X15" s="10"/>
      <c r="Y15" s="10"/>
      <c r="Z15" s="10"/>
      <c r="AA15" s="10"/>
      <c r="AB15" s="10"/>
      <c r="AC15" s="10"/>
      <c r="AD15" s="10"/>
      <c r="AE15" s="10"/>
    </row>
    <row r="16" ht="15.75" customHeight="1">
      <c r="A16" s="10"/>
      <c r="B16" s="17">
        <v>14.0</v>
      </c>
      <c r="C16" s="17">
        <v>10395.0</v>
      </c>
      <c r="D16" s="17"/>
      <c r="E16" s="17"/>
      <c r="F16" s="17"/>
      <c r="G16" s="17"/>
      <c r="H16" s="17" t="s">
        <v>69</v>
      </c>
      <c r="I16" s="17" t="s">
        <v>70</v>
      </c>
      <c r="J16" s="17" t="s">
        <v>37</v>
      </c>
      <c r="K16" s="17" t="s">
        <v>38</v>
      </c>
      <c r="L16" s="17" t="s">
        <v>39</v>
      </c>
      <c r="M16" s="18">
        <v>15741.0</v>
      </c>
      <c r="N16" s="18" t="s">
        <v>71</v>
      </c>
      <c r="O16" s="18" t="s">
        <v>72</v>
      </c>
      <c r="P16" s="19" t="s">
        <v>43</v>
      </c>
      <c r="Q16" s="20">
        <f t="shared" si="1"/>
        <v>0</v>
      </c>
      <c r="R16" s="10"/>
      <c r="S16" s="10"/>
      <c r="T16" s="10"/>
      <c r="U16" s="10"/>
      <c r="V16" s="10"/>
      <c r="W16" s="10"/>
      <c r="X16" s="10"/>
      <c r="Y16" s="10"/>
      <c r="Z16" s="10"/>
      <c r="AA16" s="10"/>
      <c r="AB16" s="10"/>
      <c r="AC16" s="10"/>
      <c r="AD16" s="10"/>
      <c r="AE16" s="10"/>
    </row>
    <row r="17" ht="15.75" customHeight="1">
      <c r="A17" s="10"/>
      <c r="B17" s="17">
        <v>15.0</v>
      </c>
      <c r="C17" s="17"/>
      <c r="D17" s="17"/>
      <c r="E17" s="17"/>
      <c r="F17" s="17"/>
      <c r="G17" s="17"/>
      <c r="H17" s="17" t="s">
        <v>73</v>
      </c>
      <c r="I17" s="17" t="s">
        <v>74</v>
      </c>
      <c r="J17" s="17" t="s">
        <v>37</v>
      </c>
      <c r="K17" s="17" t="s">
        <v>55</v>
      </c>
      <c r="L17" s="17" t="s">
        <v>39</v>
      </c>
      <c r="M17" s="18">
        <v>15741.0</v>
      </c>
      <c r="N17" s="18" t="s">
        <v>71</v>
      </c>
      <c r="O17" s="18" t="s">
        <v>72</v>
      </c>
      <c r="P17" s="19" t="s">
        <v>43</v>
      </c>
      <c r="Q17" s="20">
        <f t="shared" si="1"/>
        <v>0</v>
      </c>
      <c r="R17" s="10"/>
      <c r="S17" s="10"/>
      <c r="T17" s="10"/>
      <c r="U17" s="10"/>
      <c r="V17" s="10"/>
      <c r="W17" s="10"/>
      <c r="X17" s="10"/>
      <c r="Y17" s="10"/>
      <c r="Z17" s="10"/>
      <c r="AA17" s="10"/>
      <c r="AB17" s="10"/>
      <c r="AC17" s="10"/>
      <c r="AD17" s="10"/>
      <c r="AE17" s="10"/>
    </row>
    <row r="18" ht="15.75" customHeight="1">
      <c r="A18" s="10"/>
      <c r="B18" s="17">
        <v>16.0</v>
      </c>
      <c r="C18" s="17">
        <v>10417.0</v>
      </c>
      <c r="D18" s="17"/>
      <c r="E18" s="17"/>
      <c r="F18" s="17"/>
      <c r="G18" s="17"/>
      <c r="H18" s="17" t="s">
        <v>75</v>
      </c>
      <c r="I18" s="17" t="s">
        <v>76</v>
      </c>
      <c r="J18" s="17" t="s">
        <v>37</v>
      </c>
      <c r="K18" s="17" t="s">
        <v>38</v>
      </c>
      <c r="L18" s="17" t="s">
        <v>39</v>
      </c>
      <c r="M18" s="18">
        <v>15825.0</v>
      </c>
      <c r="N18" s="18" t="s">
        <v>77</v>
      </c>
      <c r="O18" s="18" t="s">
        <v>78</v>
      </c>
      <c r="P18" s="19" t="s">
        <v>43</v>
      </c>
      <c r="Q18" s="20">
        <f t="shared" si="1"/>
        <v>0</v>
      </c>
      <c r="R18" s="10"/>
      <c r="S18" s="10"/>
      <c r="T18" s="10"/>
      <c r="U18" s="10"/>
      <c r="V18" s="10"/>
      <c r="W18" s="10"/>
      <c r="X18" s="10"/>
      <c r="Y18" s="10"/>
      <c r="Z18" s="10"/>
      <c r="AA18" s="10"/>
      <c r="AB18" s="10"/>
      <c r="AC18" s="10"/>
      <c r="AD18" s="10"/>
      <c r="AE18" s="10"/>
    </row>
    <row r="19" ht="15.75" customHeight="1">
      <c r="A19" s="10"/>
      <c r="B19" s="17">
        <v>17.0</v>
      </c>
      <c r="C19" s="17">
        <v>10287.0</v>
      </c>
      <c r="D19" s="17"/>
      <c r="E19" s="17"/>
      <c r="F19" s="17"/>
      <c r="G19" s="17"/>
      <c r="H19" s="17" t="s">
        <v>79</v>
      </c>
      <c r="I19" s="17" t="s">
        <v>80</v>
      </c>
      <c r="J19" s="17" t="s">
        <v>37</v>
      </c>
      <c r="K19" s="17" t="s">
        <v>38</v>
      </c>
      <c r="L19" s="17" t="s">
        <v>39</v>
      </c>
      <c r="M19" s="18">
        <v>15741.0</v>
      </c>
      <c r="N19" s="18" t="s">
        <v>71</v>
      </c>
      <c r="O19" s="18" t="s">
        <v>72</v>
      </c>
      <c r="P19" s="19" t="s">
        <v>43</v>
      </c>
      <c r="Q19" s="20">
        <f t="shared" si="1"/>
        <v>0</v>
      </c>
      <c r="R19" s="10"/>
      <c r="S19" s="10"/>
      <c r="T19" s="10"/>
      <c r="U19" s="10"/>
      <c r="V19" s="10"/>
      <c r="W19" s="10"/>
      <c r="X19" s="10"/>
      <c r="Y19" s="10"/>
      <c r="Z19" s="10"/>
      <c r="AA19" s="10"/>
      <c r="AB19" s="10"/>
      <c r="AC19" s="10"/>
      <c r="AD19" s="10"/>
      <c r="AE19" s="10"/>
    </row>
    <row r="20" ht="15.75" customHeight="1">
      <c r="A20" s="10"/>
      <c r="B20" s="17">
        <v>18.0</v>
      </c>
      <c r="C20" s="17">
        <v>10381.0</v>
      </c>
      <c r="D20" s="17"/>
      <c r="E20" s="17"/>
      <c r="F20" s="17"/>
      <c r="G20" s="17"/>
      <c r="H20" s="17" t="s">
        <v>81</v>
      </c>
      <c r="I20" s="17" t="s">
        <v>54</v>
      </c>
      <c r="J20" s="17" t="s">
        <v>37</v>
      </c>
      <c r="K20" s="17" t="s">
        <v>38</v>
      </c>
      <c r="L20" s="17" t="s">
        <v>39</v>
      </c>
      <c r="M20" s="18">
        <v>15825.0</v>
      </c>
      <c r="N20" s="18" t="s">
        <v>77</v>
      </c>
      <c r="O20" s="18" t="s">
        <v>78</v>
      </c>
      <c r="P20" s="19" t="s">
        <v>43</v>
      </c>
      <c r="Q20" s="20">
        <f t="shared" si="1"/>
        <v>0</v>
      </c>
      <c r="R20" s="10"/>
      <c r="S20" s="10"/>
      <c r="T20" s="10"/>
      <c r="U20" s="10"/>
      <c r="V20" s="10"/>
      <c r="W20" s="10"/>
      <c r="X20" s="10"/>
      <c r="Y20" s="10"/>
      <c r="Z20" s="10"/>
      <c r="AA20" s="10"/>
      <c r="AB20" s="10"/>
      <c r="AC20" s="10"/>
      <c r="AD20" s="10"/>
      <c r="AE20" s="10"/>
    </row>
    <row r="21" ht="15.75" customHeight="1">
      <c r="A21" s="10"/>
      <c r="B21" s="17">
        <v>19.0</v>
      </c>
      <c r="C21" s="17">
        <v>10089.0</v>
      </c>
      <c r="D21" s="17"/>
      <c r="E21" s="17"/>
      <c r="F21" s="17"/>
      <c r="G21" s="17"/>
      <c r="H21" s="17" t="s">
        <v>82</v>
      </c>
      <c r="I21" s="17" t="s">
        <v>66</v>
      </c>
      <c r="J21" s="17" t="s">
        <v>37</v>
      </c>
      <c r="K21" s="17" t="s">
        <v>38</v>
      </c>
      <c r="L21" s="17" t="s">
        <v>39</v>
      </c>
      <c r="M21" s="18">
        <v>15825.0</v>
      </c>
      <c r="N21" s="18" t="s">
        <v>77</v>
      </c>
      <c r="O21" s="18" t="s">
        <v>78</v>
      </c>
      <c r="P21" s="19" t="s">
        <v>43</v>
      </c>
      <c r="Q21" s="20">
        <f t="shared" si="1"/>
        <v>0</v>
      </c>
      <c r="R21" s="10"/>
      <c r="S21" s="10"/>
      <c r="T21" s="10"/>
      <c r="U21" s="10"/>
      <c r="V21" s="10"/>
      <c r="W21" s="10"/>
      <c r="X21" s="10"/>
      <c r="Y21" s="10"/>
      <c r="Z21" s="10"/>
      <c r="AA21" s="10"/>
      <c r="AB21" s="10"/>
      <c r="AC21" s="10"/>
      <c r="AD21" s="10"/>
      <c r="AE21" s="10"/>
    </row>
    <row r="22" ht="15.75" customHeight="1">
      <c r="A22" s="10"/>
      <c r="B22" s="17">
        <v>20.0</v>
      </c>
      <c r="C22" s="17">
        <v>10067.0</v>
      </c>
      <c r="D22" s="17"/>
      <c r="E22" s="17"/>
      <c r="F22" s="17"/>
      <c r="G22" s="17"/>
      <c r="H22" s="17" t="s">
        <v>83</v>
      </c>
      <c r="I22" s="17" t="s">
        <v>84</v>
      </c>
      <c r="J22" s="17" t="s">
        <v>37</v>
      </c>
      <c r="K22" s="17" t="s">
        <v>38</v>
      </c>
      <c r="L22" s="17" t="s">
        <v>39</v>
      </c>
      <c r="M22" s="18">
        <v>15741.0</v>
      </c>
      <c r="N22" s="18" t="s">
        <v>71</v>
      </c>
      <c r="O22" s="18" t="s">
        <v>72</v>
      </c>
      <c r="P22" s="19" t="s">
        <v>43</v>
      </c>
      <c r="Q22" s="20">
        <f t="shared" si="1"/>
        <v>0</v>
      </c>
      <c r="R22" s="10"/>
      <c r="S22" s="10"/>
      <c r="T22" s="10"/>
      <c r="U22" s="10"/>
      <c r="V22" s="10"/>
      <c r="W22" s="10"/>
      <c r="X22" s="10"/>
      <c r="Y22" s="10"/>
      <c r="Z22" s="10"/>
      <c r="AA22" s="10"/>
      <c r="AB22" s="10"/>
      <c r="AC22" s="10"/>
      <c r="AD22" s="10"/>
      <c r="AE22" s="10"/>
    </row>
    <row r="23" ht="15.75" customHeight="1">
      <c r="A23" s="10"/>
      <c r="B23" s="17">
        <v>21.0</v>
      </c>
      <c r="C23" s="17">
        <v>10067.0</v>
      </c>
      <c r="D23" s="17"/>
      <c r="E23" s="17"/>
      <c r="F23" s="17"/>
      <c r="G23" s="17"/>
      <c r="H23" s="17" t="s">
        <v>85</v>
      </c>
      <c r="I23" s="17" t="s">
        <v>86</v>
      </c>
      <c r="J23" s="17" t="s">
        <v>37</v>
      </c>
      <c r="K23" s="17" t="s">
        <v>55</v>
      </c>
      <c r="L23" s="17" t="s">
        <v>39</v>
      </c>
      <c r="M23" s="18">
        <v>15824.0</v>
      </c>
      <c r="N23" s="18" t="s">
        <v>77</v>
      </c>
      <c r="O23" s="18" t="s">
        <v>87</v>
      </c>
      <c r="P23" s="19" t="s">
        <v>43</v>
      </c>
      <c r="Q23" s="20">
        <f t="shared" si="1"/>
        <v>0</v>
      </c>
      <c r="R23" s="10"/>
      <c r="S23" s="10"/>
      <c r="T23" s="10"/>
      <c r="U23" s="10"/>
      <c r="V23" s="10"/>
      <c r="W23" s="10"/>
      <c r="X23" s="10"/>
      <c r="Y23" s="10"/>
      <c r="Z23" s="10"/>
      <c r="AA23" s="10"/>
      <c r="AB23" s="10"/>
      <c r="AC23" s="10"/>
      <c r="AD23" s="10"/>
      <c r="AE23" s="10"/>
    </row>
    <row r="24" ht="15.75" customHeight="1">
      <c r="A24" s="10"/>
      <c r="B24" s="17">
        <v>22.0</v>
      </c>
      <c r="C24" s="17">
        <v>10742.0</v>
      </c>
      <c r="D24" s="17"/>
      <c r="E24" s="17"/>
      <c r="F24" s="17"/>
      <c r="G24" s="17"/>
      <c r="H24" s="17" t="s">
        <v>88</v>
      </c>
      <c r="I24" s="17" t="s">
        <v>89</v>
      </c>
      <c r="J24" s="17" t="s">
        <v>37</v>
      </c>
      <c r="K24" s="17" t="s">
        <v>38</v>
      </c>
      <c r="L24" s="17" t="s">
        <v>57</v>
      </c>
      <c r="M24" s="18"/>
      <c r="N24" s="18" t="s">
        <v>77</v>
      </c>
      <c r="O24" s="18" t="s">
        <v>78</v>
      </c>
      <c r="P24" s="19" t="s">
        <v>43</v>
      </c>
      <c r="Q24" s="20">
        <f t="shared" si="1"/>
        <v>0</v>
      </c>
      <c r="R24" s="10"/>
      <c r="S24" s="10"/>
      <c r="T24" s="10"/>
      <c r="U24" s="10"/>
      <c r="V24" s="10"/>
      <c r="W24" s="10"/>
      <c r="X24" s="10"/>
      <c r="Y24" s="10"/>
      <c r="Z24" s="10"/>
      <c r="AA24" s="10"/>
      <c r="AB24" s="10"/>
      <c r="AC24" s="10"/>
      <c r="AD24" s="10"/>
      <c r="AE24" s="10"/>
    </row>
    <row r="25" ht="15.75" customHeight="1">
      <c r="A25" s="10"/>
      <c r="B25" s="17">
        <v>23.0</v>
      </c>
      <c r="C25" s="17">
        <v>10585.0</v>
      </c>
      <c r="D25" s="17"/>
      <c r="E25" s="17"/>
      <c r="F25" s="17"/>
      <c r="G25" s="17"/>
      <c r="H25" s="17" t="s">
        <v>90</v>
      </c>
      <c r="I25" s="17" t="s">
        <v>91</v>
      </c>
      <c r="J25" s="17" t="s">
        <v>37</v>
      </c>
      <c r="K25" s="17" t="s">
        <v>38</v>
      </c>
      <c r="L25" s="17" t="s">
        <v>57</v>
      </c>
      <c r="M25" s="18"/>
      <c r="N25" s="18" t="s">
        <v>77</v>
      </c>
      <c r="O25" s="18" t="s">
        <v>78</v>
      </c>
      <c r="P25" s="19" t="s">
        <v>43</v>
      </c>
      <c r="Q25" s="20">
        <f t="shared" si="1"/>
        <v>0</v>
      </c>
      <c r="R25" s="10"/>
      <c r="S25" s="10"/>
      <c r="T25" s="10"/>
      <c r="U25" s="10"/>
      <c r="V25" s="10"/>
      <c r="W25" s="10"/>
      <c r="X25" s="10"/>
      <c r="Y25" s="10"/>
      <c r="Z25" s="10"/>
      <c r="AA25" s="10"/>
      <c r="AB25" s="10"/>
      <c r="AC25" s="10"/>
      <c r="AD25" s="10"/>
      <c r="AE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row>
  </sheetData>
  <conditionalFormatting sqref="A1:P974">
    <cfRule type="notContainsBlanks" dxfId="0" priority="1">
      <formula>LEN(TRIM(A1))&gt;0</formula>
    </cfRule>
  </conditionalFormatting>
  <dataValidations>
    <dataValidation type="list" allowBlank="1" showErrorMessage="1" sqref="G3:G25">
      <formula1>"Innovations &amp; Presales,Business Architecture,Solution Architecture,Technical Architecture,Customer Success,Data &amp; AI,Engineering,QA,On-Demand"</formula1>
    </dataValidation>
    <dataValidation type="list" allowBlank="1" showErrorMessage="1" sqref="P3:P25">
      <formula1>"Inactive,Active"</formula1>
    </dataValidation>
    <dataValidation type="list" allowBlank="1" showErrorMessage="1" sqref="E3:E25">
      <formula1>"Salesforce,Conga,Oracle,Consulting,Shared Service"</formula1>
    </dataValidation>
    <dataValidation type="list" allowBlank="1" showErrorMessage="1" sqref="L3:L25">
      <formula1>"B,NB"</formula1>
    </dataValidation>
    <dataValidation type="list" allowBlank="1" showErrorMessage="1" sqref="J3:J25">
      <formula1>"Onshore,Offshore"</formula1>
    </dataValidation>
    <dataValidation type="list" allowBlank="1" showErrorMessage="1" sqref="K3:K25">
      <formula1>"Internal,Consultant"</formula1>
    </dataValidation>
    <dataValidation type="list" allowBlank="1" showErrorMessage="1" sqref="F3:F25">
      <formula1>"Solutions,Delivery"</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88"/>
    <col customWidth="1" min="2" max="2" width="17.13"/>
    <col customWidth="1" min="4" max="4" width="17.38"/>
    <col customWidth="1" min="5" max="5" width="16.13"/>
    <col customWidth="1" min="6" max="6" width="15.13"/>
    <col customWidth="1" min="7" max="7" width="18.25"/>
    <col customWidth="1" min="10" max="10" width="16.25"/>
    <col customWidth="1" min="11" max="11" width="17.38"/>
    <col customWidth="1" min="12" max="12" width="20.88"/>
  </cols>
  <sheetData>
    <row r="1">
      <c r="A1" s="28"/>
      <c r="B1" s="28" t="s">
        <v>92</v>
      </c>
      <c r="H1" s="28" t="s">
        <v>93</v>
      </c>
    </row>
    <row r="2">
      <c r="C2" s="29"/>
      <c r="D2" s="29"/>
      <c r="I2" s="30"/>
      <c r="J2" s="30"/>
      <c r="K2" s="31" t="s">
        <v>94</v>
      </c>
      <c r="L2" s="31" t="s">
        <v>95</v>
      </c>
    </row>
    <row r="3">
      <c r="C3" s="29"/>
      <c r="D3" s="29"/>
      <c r="I3" s="30"/>
      <c r="J3" s="30"/>
      <c r="K3" s="30"/>
      <c r="L3" s="30"/>
    </row>
    <row r="4">
      <c r="C4" s="29"/>
      <c r="D4" s="29"/>
      <c r="I4" s="30"/>
      <c r="J4" s="30"/>
      <c r="K4" s="32" t="str">
        <f t="shared" ref="K4:K11" si="1">E4/J4</f>
        <v>#DIV/0!</v>
      </c>
      <c r="L4" s="32" t="str">
        <f t="shared" ref="L4:L11" si="2">F4/D4</f>
        <v>#DIV/0!</v>
      </c>
    </row>
    <row r="5">
      <c r="C5" s="29"/>
      <c r="D5" s="29"/>
      <c r="I5" s="30"/>
      <c r="J5" s="30"/>
      <c r="K5" s="32" t="str">
        <f t="shared" si="1"/>
        <v>#DIV/0!</v>
      </c>
      <c r="L5" s="32" t="str">
        <f t="shared" si="2"/>
        <v>#DIV/0!</v>
      </c>
    </row>
    <row r="6">
      <c r="C6" s="29"/>
      <c r="D6" s="29"/>
      <c r="I6" s="30"/>
      <c r="J6" s="30"/>
      <c r="K6" s="32" t="str">
        <f t="shared" si="1"/>
        <v>#DIV/0!</v>
      </c>
      <c r="L6" s="32" t="str">
        <f t="shared" si="2"/>
        <v>#DIV/0!</v>
      </c>
    </row>
    <row r="7">
      <c r="C7" s="29"/>
      <c r="D7" s="29"/>
      <c r="I7" s="30"/>
      <c r="J7" s="30"/>
      <c r="K7" s="32" t="str">
        <f t="shared" si="1"/>
        <v>#DIV/0!</v>
      </c>
      <c r="L7" s="32" t="str">
        <f t="shared" si="2"/>
        <v>#DIV/0!</v>
      </c>
    </row>
    <row r="8">
      <c r="C8" s="29"/>
      <c r="D8" s="29"/>
      <c r="I8" s="30"/>
      <c r="J8" s="30"/>
      <c r="K8" s="32" t="str">
        <f t="shared" si="1"/>
        <v>#DIV/0!</v>
      </c>
      <c r="L8" s="32" t="str">
        <f t="shared" si="2"/>
        <v>#DIV/0!</v>
      </c>
    </row>
    <row r="9">
      <c r="C9" s="29"/>
      <c r="D9" s="29"/>
      <c r="I9" s="30"/>
      <c r="J9" s="30"/>
      <c r="K9" s="32" t="str">
        <f t="shared" si="1"/>
        <v>#DIV/0!</v>
      </c>
      <c r="L9" s="32" t="str">
        <f t="shared" si="2"/>
        <v>#DIV/0!</v>
      </c>
    </row>
    <row r="10">
      <c r="C10" s="29"/>
      <c r="D10" s="29"/>
      <c r="I10" s="30"/>
      <c r="J10" s="30"/>
      <c r="K10" s="32" t="str">
        <f t="shared" si="1"/>
        <v>#DIV/0!</v>
      </c>
      <c r="L10" s="32" t="str">
        <f t="shared" si="2"/>
        <v>#DIV/0!</v>
      </c>
    </row>
    <row r="11">
      <c r="C11" s="29"/>
      <c r="D11" s="29"/>
      <c r="I11" s="30"/>
      <c r="J11" s="30"/>
      <c r="K11" s="32" t="str">
        <f t="shared" si="1"/>
        <v>#DIV/0!</v>
      </c>
      <c r="L11" s="32" t="str">
        <f t="shared" si="2"/>
        <v>#DIV/0!</v>
      </c>
    </row>
    <row r="12">
      <c r="C12" s="29"/>
      <c r="D12" s="29"/>
      <c r="I12" s="29"/>
    </row>
    <row r="13">
      <c r="A13" s="28"/>
      <c r="C13" s="29"/>
      <c r="D13" s="29"/>
      <c r="I13" s="29"/>
    </row>
    <row r="14">
      <c r="A14" s="28"/>
      <c r="C14" s="29"/>
      <c r="D14" s="29"/>
      <c r="I14" s="29"/>
    </row>
    <row r="15">
      <c r="I15" s="29"/>
    </row>
    <row r="16"/>
    <row r="17"/>
    <row r="18"/>
    <row r="19"/>
    <row r="20"/>
    <row r="21"/>
    <row r="22"/>
    <row r="23"/>
    <row r="24"/>
    <row r="25"/>
    <row r="27">
      <c r="A27" s="28"/>
    </row>
    <row r="28">
      <c r="A28" s="28"/>
    </row>
    <row r="29">
      <c r="B29" s="28" t="s">
        <v>98</v>
      </c>
      <c r="C29" s="28" t="s">
        <v>99</v>
      </c>
      <c r="H29" s="28" t="s">
        <v>100</v>
      </c>
    </row>
    <row r="30">
      <c r="H30" s="31" t="s">
        <v>20</v>
      </c>
      <c r="I30" s="31" t="s">
        <v>101</v>
      </c>
      <c r="J30" s="31" t="s">
        <v>102</v>
      </c>
      <c r="K30" s="33" t="s">
        <v>97</v>
      </c>
    </row>
    <row r="31">
      <c r="H31" s="30" t="s">
        <v>47</v>
      </c>
      <c r="I31" s="30"/>
      <c r="J31" s="30"/>
      <c r="K31" s="30">
        <v>294.0</v>
      </c>
    </row>
    <row r="32" hidden="1">
      <c r="H32" s="30" t="s">
        <v>54</v>
      </c>
      <c r="I32" s="32" t="str">
        <f t="shared" ref="I32:I37" si="3">C33/E33</f>
        <v>#DIV/0!</v>
      </c>
      <c r="J32" s="32" t="str">
        <f t="shared" ref="J32:J37" si="4">D33/E33</f>
        <v>#DIV/0!</v>
      </c>
      <c r="K32" s="34">
        <v>374.0</v>
      </c>
    </row>
    <row r="33">
      <c r="H33" s="30" t="s">
        <v>61</v>
      </c>
      <c r="I33" s="32" t="str">
        <f t="shared" si="3"/>
        <v>#DIV/0!</v>
      </c>
      <c r="J33" s="32" t="str">
        <f t="shared" si="4"/>
        <v>#DIV/0!</v>
      </c>
      <c r="K33" s="34">
        <v>132.0</v>
      </c>
    </row>
    <row r="34">
      <c r="H34" s="30" t="s">
        <v>36</v>
      </c>
      <c r="I34" s="32" t="str">
        <f t="shared" si="3"/>
        <v>#DIV/0!</v>
      </c>
      <c r="J34" s="32" t="str">
        <f t="shared" si="4"/>
        <v>#DIV/0!</v>
      </c>
      <c r="K34" s="34">
        <v>138.0</v>
      </c>
    </row>
    <row r="35">
      <c r="H35" s="30" t="s">
        <v>66</v>
      </c>
      <c r="I35" s="32" t="str">
        <f t="shared" si="3"/>
        <v>#DIV/0!</v>
      </c>
      <c r="J35" s="32" t="str">
        <f t="shared" si="4"/>
        <v>#DIV/0!</v>
      </c>
      <c r="K35" s="34">
        <v>198.0</v>
      </c>
    </row>
    <row r="36">
      <c r="H36" s="30" t="s">
        <v>64</v>
      </c>
      <c r="I36" s="32" t="str">
        <f t="shared" si="3"/>
        <v>#DIV/0!</v>
      </c>
      <c r="J36" s="32" t="str">
        <f t="shared" si="4"/>
        <v>#DIV/0!</v>
      </c>
      <c r="K36" s="34">
        <v>66.0</v>
      </c>
    </row>
    <row r="37">
      <c r="H37" s="30" t="s">
        <v>51</v>
      </c>
      <c r="I37" s="32" t="str">
        <f t="shared" si="3"/>
        <v>#DIV/0!</v>
      </c>
      <c r="J37" s="32" t="str">
        <f t="shared" si="4"/>
        <v>#DIV/0!</v>
      </c>
      <c r="K37" s="34">
        <v>232.0</v>
      </c>
    </row>
    <row r="38">
      <c r="H38" s="30" t="s">
        <v>103</v>
      </c>
      <c r="I38" s="30"/>
      <c r="J38" s="30"/>
      <c r="K38" s="34">
        <v>1434.0</v>
      </c>
    </row>
    <row r="39"/>
    <row r="42">
      <c r="B42" s="28" t="s">
        <v>104</v>
      </c>
    </row>
    <row r="44"/>
    <row r="45"/>
    <row r="46"/>
    <row r="47"/>
    <row r="48"/>
    <row r="49"/>
    <row r="50"/>
    <row r="51"/>
    <row r="52"/>
    <row r="53">
      <c r="C53" s="35"/>
      <c r="D53" s="35"/>
      <c r="E53" s="35"/>
    </row>
  </sheetData>
  <drawing r:id="rId7"/>
</worksheet>
</file>