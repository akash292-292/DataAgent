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Overview " sheetId="1" r:id="rId4"/>
    <sheet state="visible" name="Estimates " sheetId="2" r:id="rId5"/>
    <sheet state="visible" name="Plan+Offshore+Onsite" sheetId="3" r:id="rId6"/>
    <sheet state="visible" name="Deck-plan" sheetId="4" r:id="rId7"/>
    <sheet state="visible" name="Offshore+PM-Onshore-Plan" sheetId="5" r:id="rId8"/>
    <sheet state="visible" name="CLM-Offshore+PM-Onshore-Plan" sheetId="6" r:id="rId9"/>
    <sheet state="visible" name="All Offshore wo Integration Pla" sheetId="7" r:id="rId10"/>
    <sheet state="visible" name="CLM-All Offshore wo Integration" sheetId="8" r:id="rId11"/>
    <sheet state="visible" name="All Offshore wIntegration Plan" sheetId="9" r:id="rId12"/>
  </sheets>
  <definedNames/>
  <calcPr/>
</workbook>
</file>

<file path=xl/sharedStrings.xml><?xml version="1.0" encoding="utf-8"?>
<sst xmlns="http://schemas.openxmlformats.org/spreadsheetml/2006/main" count="444" uniqueCount="117">
  <si>
    <t xml:space="preserve">Area </t>
  </si>
  <si>
    <t xml:space="preserve">Overview </t>
  </si>
  <si>
    <t xml:space="preserve">Go to Market </t>
  </si>
  <si>
    <t xml:space="preserve">BDR and Sales are involved in the Go to Market. They mostly work on Direct Sales and today they are not having any partner or other areas where they do the sales
US based and one sales rep is in Canada </t>
  </si>
  <si>
    <t xml:space="preserve">40 Sales Rep - Direct Sales 
Inside sales Team - 5 Member team they work on Add On Services </t>
  </si>
  <si>
    <t>Investment summary is created in xls and it is used to generate both the quote and contact.  (XLS with Macros and VBA)</t>
  </si>
  <si>
    <t xml:space="preserve">IMS is used to populate the Core products, modules, Integrations, Addon Services, Billable Hours etc. </t>
  </si>
  <si>
    <t xml:space="preserve">It also support in Commission calculation for Sales </t>
  </si>
  <si>
    <t xml:space="preserve">It create a list of item for internal processing so that XLS will feed in to Netsuite for Ordering and Invoicing </t>
  </si>
  <si>
    <t xml:space="preserve">Persona </t>
  </si>
  <si>
    <t xml:space="preserve">BDR 
Sales Reps - 40 
Inside Sales - 5 
Sales Operations (Contract Management)
Legal (Red lining)
Finance  
</t>
  </si>
  <si>
    <t xml:space="preserve">Quote Life Cycle </t>
  </si>
  <si>
    <r>
      <rPr>
        <rFont val="Arial"/>
        <b/>
        <color theme="1"/>
      </rPr>
      <t xml:space="preserve">Opportunity (Create in Netsuite) </t>
    </r>
    <r>
      <rPr>
        <rFont val="Arial"/>
        <color theme="1"/>
      </rPr>
      <t xml:space="preserve">- Opportunity Line item are created once the Contract is signed. 
</t>
    </r>
    <r>
      <rPr>
        <rFont val="Arial"/>
        <b/>
        <color theme="1"/>
      </rPr>
      <t xml:space="preserve">Investment Summary (XLS) </t>
    </r>
    <r>
      <rPr>
        <rFont val="Arial"/>
        <color theme="1"/>
      </rPr>
      <t xml:space="preserve">- Help us to create the Quote and generate the Contract. Generate Contract button in Investment summary 
</t>
    </r>
    <r>
      <rPr>
        <rFont val="Arial"/>
        <b/>
        <color theme="1"/>
      </rPr>
      <t>Sharepoint Folder</t>
    </r>
    <r>
      <rPr>
        <rFont val="Arial"/>
        <color theme="1"/>
      </rPr>
      <t xml:space="preserve"> - For all the document repository, they create the folder structure to support the same. 
</t>
    </r>
    <r>
      <rPr>
        <rFont val="Arial"/>
        <b/>
        <color theme="1"/>
      </rPr>
      <t xml:space="preserve">Docusign +Netsuite </t>
    </r>
    <r>
      <rPr>
        <rFont val="Arial"/>
        <color theme="1"/>
      </rPr>
      <t xml:space="preserve">- For esignature of the Contract 
</t>
    </r>
    <r>
      <rPr>
        <rFont val="Arial"/>
        <b/>
        <color theme="1"/>
      </rPr>
      <t xml:space="preserve">Order (NetSuite) </t>
    </r>
    <r>
      <rPr>
        <rFont val="Arial"/>
        <color theme="1"/>
      </rPr>
      <t xml:space="preserve">- Once the Opportunity lines are created, then they create the Order 
</t>
    </r>
    <r>
      <rPr>
        <rFont val="Arial"/>
        <b/>
        <color theme="1"/>
      </rPr>
      <t xml:space="preserve">Invoicing (NetSuite) </t>
    </r>
    <r>
      <rPr>
        <rFont val="Arial"/>
        <color theme="1"/>
      </rPr>
      <t xml:space="preserve">- Part of the process, the invoices will be create in NetSuite </t>
    </r>
  </si>
  <si>
    <r>
      <rPr>
        <rFont val="Arial"/>
        <b/>
        <color theme="1"/>
      </rPr>
      <t>Amendement (Upgrade)</t>
    </r>
    <r>
      <rPr>
        <rFont val="Arial"/>
        <color theme="1"/>
      </rPr>
      <t xml:space="preserve"> - Version upgrade of the Software. Investment Summary Core xls is update every week, they have a whole new investment summary each time they need to quote to a customer. If they need to quote, they need to pull it from NetSuite and update the xls with the updated details </t>
    </r>
  </si>
  <si>
    <r>
      <rPr>
        <rFont val="Arial"/>
        <b/>
        <color theme="1"/>
      </rPr>
      <t xml:space="preserve">Renewals - </t>
    </r>
    <r>
      <rPr>
        <rFont val="Arial"/>
        <color theme="1"/>
      </rPr>
      <t xml:space="preserve">They have a lead management team, they keep a track of Contract which are due for Renewals. Typical Sales Cycle is for 3 Years, Investment summary is used to do a Renewal. A completely new Investment summary is created for the Current Market Price </t>
    </r>
  </si>
  <si>
    <t xml:space="preserve">Product Life Cycle </t>
  </si>
  <si>
    <r>
      <rPr>
        <rFont val="Arial"/>
        <b/>
        <color theme="1"/>
      </rPr>
      <t>New product introduction</t>
    </r>
    <r>
      <rPr>
        <rFont val="Arial"/>
        <color theme="1"/>
      </rPr>
      <t xml:space="preserve"> - Regural new product introduction is not in place, they have regural Core products (load master, power broker, or document power) Combination of these Services.
</t>
    </r>
    <r>
      <rPr>
        <rFont val="Arial"/>
        <b/>
        <color theme="1"/>
      </rPr>
      <t xml:space="preserve">Version Control </t>
    </r>
    <r>
      <rPr>
        <rFont val="Arial"/>
        <color theme="1"/>
      </rPr>
      <t xml:space="preserve">: Version Control is in place for these products and they upgrade is based on the Version Update   
</t>
    </r>
  </si>
  <si>
    <r>
      <rPr>
        <rFont val="Arial"/>
        <b/>
        <color theme="1"/>
      </rPr>
      <t>Total Products</t>
    </r>
    <r>
      <rPr>
        <rFont val="Arial"/>
        <color theme="1"/>
      </rPr>
      <t xml:space="preserve"> - Less than 700 Sku, which include Core Products, Services, Add-on and Integration 
</t>
    </r>
    <r>
      <rPr>
        <rFont val="Arial"/>
        <b/>
        <color theme="1"/>
      </rPr>
      <t>Core Products.</t>
    </r>
    <r>
      <rPr>
        <rFont val="Arial"/>
        <color theme="1"/>
      </rPr>
      <t xml:space="preserve"> - (LoadMaster and PowerBroker
DocumentPower)
</t>
    </r>
    <r>
      <rPr>
        <rFont val="Arial"/>
        <b/>
        <color theme="1"/>
      </rPr>
      <t xml:space="preserve">Services </t>
    </r>
    <r>
      <rPr>
        <rFont val="Arial"/>
        <color theme="1"/>
      </rPr>
      <t xml:space="preserve">are offered in Turnkey Proposal when the users are limited like 50 Users etc. If its Enterprise level then the Calcualtion will come in picture like Hourly basis etc. Services are auto populated 
</t>
    </r>
    <r>
      <rPr>
        <rFont val="Arial"/>
        <b/>
        <color theme="1"/>
      </rPr>
      <t>Addon</t>
    </r>
    <r>
      <rPr>
        <rFont val="Arial"/>
        <color theme="1"/>
      </rPr>
      <t xml:space="preserve"> - They are manually selected by the Users 
</t>
    </r>
    <r>
      <rPr>
        <rFont val="Arial"/>
        <b/>
        <color theme="1"/>
      </rPr>
      <t xml:space="preserve">Quote Size </t>
    </r>
    <r>
      <rPr>
        <rFont val="Arial"/>
        <color theme="1"/>
      </rPr>
      <t xml:space="preserve">- For a Core product like Load Master &amp; Document Power - If it can be configured as a Bunle it can be upto 50-70 (Core - 5-8 Products, then Services, Addons etc) Lineitems on the Cart. 
</t>
    </r>
  </si>
  <si>
    <r>
      <rPr>
        <rFont val="Arial"/>
        <b/>
        <color theme="1"/>
      </rPr>
      <t xml:space="preserve">Product Category - 
</t>
    </r>
    <r>
      <rPr>
        <rFont val="Arial"/>
        <color theme="1"/>
      </rPr>
      <t>Base
Imaging
LTL
Other
Mobile App</t>
    </r>
  </si>
  <si>
    <r>
      <rPr>
        <rFont val="Arial"/>
        <b/>
        <color theme="1"/>
      </rPr>
      <t xml:space="preserve">Product Type -
</t>
    </r>
    <r>
      <rPr>
        <rFont val="Arial"/>
        <color theme="1"/>
      </rPr>
      <t xml:space="preserve"> Interface
Base Software
Module
User License
Document Power
Base Module
Services
Training
Support &amp; Maintenance
Third Party Software
User Conference</t>
    </r>
  </si>
  <si>
    <r>
      <rPr>
        <rFont val="Arial"/>
        <b/>
        <color theme="1"/>
      </rPr>
      <t xml:space="preserve">Item Category 
</t>
    </r>
    <r>
      <rPr>
        <rFont val="Arial"/>
        <color theme="1"/>
      </rPr>
      <t>License - Perpetual
License - Term
Services
Support - New
Training
Maintenance - New
Other</t>
    </r>
  </si>
  <si>
    <r>
      <rPr>
        <rFont val="Arial"/>
        <b/>
        <color theme="1"/>
      </rPr>
      <t xml:space="preserve">Product Line 
</t>
    </r>
    <r>
      <rPr>
        <rFont val="Arial"/>
        <color theme="1"/>
      </rPr>
      <t>LoadMaster and PowerBroker
DocumentPower
None
LoadMaster
PowerBroker
EDI
LoadMaster LTL
LoadMaster, LoadMaster LTL, and PowerBroker
McLeod IQ
Professional Services
McLeod Anywhere
Training
Other
LoadMaster, LoadMaster LTL, and PowerBroker, DocumentPower</t>
    </r>
  </si>
  <si>
    <t xml:space="preserve">Pricing Overview </t>
  </si>
  <si>
    <t xml:space="preserve">USD Pricing - one US pricelist.  
Pricing Changes are handle twice a year. </t>
  </si>
  <si>
    <t>- Core Products are Perpetual today. 
- Service pricing is based on Number of Users (Tiered Pricing)
- Planning to introduce Subscription based pricing, today most of the pricing is Perpetual 
- Service Pricing is Rate Per Hour for specific Add-Ons 
- They have Uplift for each year, but the uplift % is not determined ahead and its determined on completing of first year.  (3% to 5%)</t>
  </si>
  <si>
    <t xml:space="preserve">Discounting </t>
  </si>
  <si>
    <t xml:space="preserve">Services are never discounted.
Line item discount - Ocassitionaly 
Quote Level Discounts - excludes Services 
Non Discounted Products 
Certain Promotions - Like Free Trail for first 3 Months
Empowered Discounts 
TIA Discounts - If you belong to this program you get discounts </t>
  </si>
  <si>
    <t xml:space="preserve">Approvals </t>
  </si>
  <si>
    <t xml:space="preserve">Approvals are discounts go hand in Hand. 
Sales will have certain discounts, Manager will have next level and Vp Level discounting approvals 
Approvals are sequential </t>
  </si>
  <si>
    <t>Phase</t>
  </si>
  <si>
    <t>Activities Included</t>
  </si>
  <si>
    <t>Volume</t>
  </si>
  <si>
    <t>Hours / Unit</t>
  </si>
  <si>
    <t>Estimated Hours</t>
  </si>
  <si>
    <t>Phase-wise Hours Total</t>
  </si>
  <si>
    <t>Plan &amp; Define
(Requirement Gathering)</t>
  </si>
  <si>
    <t>Project Plan, Milestones
Workshops
Detailed Scoping &amp; Requirement
Document Review &amp; Revision</t>
  </si>
  <si>
    <t>Designing</t>
  </si>
  <si>
    <t>Create Product Layout, rules, Validations, Opportunity Management,Quote Management</t>
  </si>
  <si>
    <t>Project Communication</t>
  </si>
  <si>
    <t>Meetings / Conf Calls / Demo / Review / MoM</t>
  </si>
  <si>
    <t>Build</t>
  </si>
  <si>
    <t>Quote Workflow (New, Amendments &amp; Renewals)</t>
  </si>
  <si>
    <t>Product Setup - Standalone (Field Creation, Page Layouts, 2 Pricelists, Permissions, Revenue &amp; Billing fields)</t>
  </si>
  <si>
    <t>Product Setup - Bundles (Field Creation, Page Layouts, 2 Pricelists, Permissions, Revenue &amp; Billing fields)</t>
  </si>
  <si>
    <t>Product Rules</t>
  </si>
  <si>
    <t>Additional Pricelists (Contract Pricelists)</t>
  </si>
  <si>
    <t>Pricing Rules</t>
  </si>
  <si>
    <t>Approvals (Salesforce 3 Levels) - Process Builder / Flows</t>
  </si>
  <si>
    <t>Templates (1 Order Forms - English Only)</t>
  </si>
  <si>
    <t>CPQ Package Settings</t>
  </si>
  <si>
    <t>QA</t>
  </si>
  <si>
    <t>Test Strategy
Test Execution
Bug Fixes</t>
  </si>
  <si>
    <t>UAT</t>
  </si>
  <si>
    <t>Support including feedback incorporation
&amp; UAT Fixes</t>
  </si>
  <si>
    <t>Go-Live &amp; Production Support</t>
  </si>
  <si>
    <t>Deployment
Training &amp; Documentation Support
2 wk Support
Query Resolution, Bug Fixes
User Support &amp; Adoption Facilitation</t>
  </si>
  <si>
    <t>Total Hours</t>
  </si>
  <si>
    <t>McLeod CPQ Conga Platform Estimates (NetSuite + Standalone Conga Platform)</t>
  </si>
  <si>
    <t>W1</t>
  </si>
  <si>
    <t>W2</t>
  </si>
  <si>
    <t>W3</t>
  </si>
  <si>
    <t>W4</t>
  </si>
  <si>
    <t>W5</t>
  </si>
  <si>
    <t>W6</t>
  </si>
  <si>
    <t>W7</t>
  </si>
  <si>
    <t>W8</t>
  </si>
  <si>
    <t>W9</t>
  </si>
  <si>
    <t>W10</t>
  </si>
  <si>
    <t>W11</t>
  </si>
  <si>
    <t>W12</t>
  </si>
  <si>
    <t>W13</t>
  </si>
  <si>
    <t>W14</t>
  </si>
  <si>
    <t>W15</t>
  </si>
  <si>
    <t>W16</t>
  </si>
  <si>
    <t>W17</t>
  </si>
  <si>
    <t>W18</t>
  </si>
  <si>
    <t>Plan/Define</t>
  </si>
  <si>
    <t>Design</t>
  </si>
  <si>
    <t>Sprint 1</t>
  </si>
  <si>
    <t>Sprint 2</t>
  </si>
  <si>
    <t>Sprint 3</t>
  </si>
  <si>
    <t>Sprint 4</t>
  </si>
  <si>
    <t xml:space="preserve">UAT </t>
  </si>
  <si>
    <t>Go Live</t>
  </si>
  <si>
    <t>Hyper Care</t>
  </si>
  <si>
    <t>Role</t>
  </si>
  <si>
    <t xml:space="preserve">Level </t>
  </si>
  <si>
    <t>Rate</t>
  </si>
  <si>
    <t>Status</t>
  </si>
  <si>
    <t>Cost</t>
  </si>
  <si>
    <t>Total Cost</t>
  </si>
  <si>
    <t>Total Price</t>
  </si>
  <si>
    <t>Project Manager(PM)</t>
  </si>
  <si>
    <t>L5</t>
  </si>
  <si>
    <t>Onshore</t>
  </si>
  <si>
    <t xml:space="preserve">CPQ SA </t>
  </si>
  <si>
    <t>L3</t>
  </si>
  <si>
    <t xml:space="preserve">CPQ BA </t>
  </si>
  <si>
    <t>L4</t>
  </si>
  <si>
    <t>Integration Dev</t>
  </si>
  <si>
    <t>Offshore</t>
  </si>
  <si>
    <t>Data Migration Eng</t>
  </si>
  <si>
    <t>Config Eng</t>
  </si>
  <si>
    <t>CPQ Dev</t>
  </si>
  <si>
    <t>QA Eng</t>
  </si>
  <si>
    <t>Onsite</t>
  </si>
  <si>
    <t>Integration Lead</t>
  </si>
  <si>
    <t xml:space="preserve">Data Migration Lead </t>
  </si>
  <si>
    <t xml:space="preserve">QA Lead </t>
  </si>
  <si>
    <t>180 -230</t>
  </si>
  <si>
    <t xml:space="preserve">QA </t>
  </si>
  <si>
    <t>L2</t>
  </si>
  <si>
    <t>McLeod CLM Conga Platform Estimates</t>
  </si>
  <si>
    <t xml:space="preserve">CLM SA </t>
  </si>
  <si>
    <t xml:space="preserve">CLM BA </t>
  </si>
  <si>
    <t>CLM Dev</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</si>
</sst>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 #,##0_ ;_ * \-#,##0_ ;_ * &quot;-&quot;??_ ;_ @_ "/>
    <numFmt numFmtId="165" formatCode="_-[$$-409]* #,##0_ ;_-[$$-409]* \-#,##0\ ;_-[$$-409]* &quot;-&quot;??_ ;_-@_ "/>
  </numFmts>
  <fonts count="9">
    <font>
      <sz val="10.0"/>
      <color rgb="FF000000"/>
      <name val="Arial"/>
      <scheme val="minor"/>
    </font>
    <font>
      <color theme="1"/>
      <name val="Arial"/>
      <scheme val="minor"/>
    </font>
    <font>
      <b/>
      <color theme="1"/>
      <name val="Arial"/>
      <scheme val="minor"/>
    </font>
    <font>
      <color theme="1"/>
      <name val="Arial"/>
    </font>
    <font/>
    <font>
      <b/>
      <sz val="12.0"/>
      <color theme="1"/>
      <name val="Arial"/>
    </font>
    <font>
      <b/>
      <color theme="1"/>
      <name val="Calibri"/>
    </font>
    <font>
      <color theme="1"/>
      <name val="Calibri"/>
    </font>
    <font>
      <i/>
      <color theme="1"/>
      <name val="Calibri"/>
    </font>
  </fonts>
  <fills count="11">
    <fill>
      <patternFill patternType="none"/>
    </fill>
    <fill>
      <patternFill patternType="lightGray"/>
    </fill>
    <fill>
      <patternFill patternType="solid">
        <fgColor rgb="FFD9EAD3"/>
        <bgColor rgb="FFD9EAD3"/>
      </patternFill>
    </fill>
    <fill>
      <patternFill patternType="solid">
        <fgColor rgb="FFF9CB9C"/>
        <bgColor rgb="FFF9CB9C"/>
      </patternFill>
    </fill>
    <fill>
      <patternFill patternType="solid">
        <fgColor rgb="FFDDD9C3"/>
        <bgColor rgb="FFDDD9C3"/>
      </patternFill>
    </fill>
    <fill>
      <patternFill patternType="solid">
        <fgColor rgb="FFA4C2F4"/>
        <bgColor rgb="FFA4C2F4"/>
      </patternFill>
    </fill>
    <fill>
      <patternFill patternType="solid">
        <fgColor rgb="FF4A86E8"/>
        <bgColor rgb="FF4A86E8"/>
      </patternFill>
    </fill>
    <fill>
      <patternFill patternType="solid">
        <fgColor rgb="FFFFE599"/>
        <bgColor rgb="FFFFE599"/>
      </patternFill>
    </fill>
    <fill>
      <patternFill patternType="solid">
        <fgColor rgb="FFD5A6BD"/>
        <bgColor rgb="FFD5A6BD"/>
      </patternFill>
    </fill>
    <fill>
      <patternFill patternType="solid">
        <fgColor rgb="FFB6D7A8"/>
        <bgColor rgb="FFB6D7A8"/>
      </patternFill>
    </fill>
    <fill>
      <patternFill patternType="solid">
        <fgColor rgb="FFC9DAF8"/>
        <bgColor rgb="FFC9DAF8"/>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CCCCCC"/>
      </left>
      <top style="medium">
        <color rgb="FFCCCCCC"/>
      </top>
    </border>
    <border>
      <top style="medium">
        <color rgb="FFCCCCCC"/>
      </top>
    </border>
    <border>
      <right style="medium">
        <color rgb="FFCCCCCC"/>
      </right>
      <top style="medium">
        <color rgb="FFCCCCCC"/>
      </top>
    </border>
    <border>
      <left style="medium">
        <color rgb="FFCCCCCC"/>
      </left>
    </border>
    <border>
      <right style="medium">
        <color rgb="FFCCCCCC"/>
      </right>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1" fillId="0" fontId="3" numFmtId="0" xfId="0" applyAlignment="1" applyBorder="1" applyFont="1">
      <alignment vertical="bottom"/>
    </xf>
    <xf borderId="1" fillId="0" fontId="3" numFmtId="0" xfId="0" applyAlignment="1" applyBorder="1" applyFont="1">
      <alignment horizontal="center" shrinkToFit="0" wrapText="1"/>
    </xf>
    <xf borderId="1" fillId="0" fontId="3" numFmtId="0" xfId="0" applyAlignment="1" applyBorder="1" applyFont="1">
      <alignment shrinkToFit="0" wrapText="1"/>
    </xf>
    <xf borderId="1" fillId="0" fontId="3" numFmtId="0" xfId="0" applyAlignment="1" applyBorder="1" applyFont="1">
      <alignment horizontal="center"/>
    </xf>
    <xf borderId="1" fillId="0" fontId="3" numFmtId="0" xfId="0" applyAlignment="1" applyBorder="1" applyFont="1">
      <alignment horizontal="center" readingOrder="0"/>
    </xf>
    <xf borderId="2" fillId="0" fontId="3" numFmtId="0" xfId="0" applyAlignment="1" applyBorder="1" applyFont="1">
      <alignment horizontal="center" shrinkToFit="0" wrapText="1"/>
    </xf>
    <xf borderId="2" fillId="0" fontId="3" numFmtId="0" xfId="0" applyAlignment="1" applyBorder="1" applyFont="1">
      <alignment shrinkToFit="0" wrapText="1"/>
    </xf>
    <xf borderId="3" fillId="0" fontId="3" numFmtId="0" xfId="0" applyAlignment="1" applyBorder="1" applyFont="1">
      <alignment horizontal="center"/>
    </xf>
    <xf borderId="4" fillId="0" fontId="3" numFmtId="0" xfId="0" applyAlignment="1" applyBorder="1" applyFont="1">
      <alignment horizontal="center" shrinkToFit="0" wrapText="1"/>
    </xf>
    <xf borderId="5" fillId="0" fontId="3" numFmtId="0" xfId="0" applyAlignment="1" applyBorder="1" applyFont="1">
      <alignment shrinkToFit="0" wrapText="1"/>
    </xf>
    <xf borderId="2" fillId="0" fontId="3" numFmtId="0" xfId="0" applyAlignment="1" applyBorder="1" applyFont="1">
      <alignment horizontal="center"/>
    </xf>
    <xf borderId="4" fillId="0" fontId="4" numFmtId="0" xfId="0" applyBorder="1" applyFont="1"/>
    <xf borderId="1" fillId="0" fontId="3" numFmtId="0" xfId="0" applyAlignment="1" applyBorder="1" applyFont="1">
      <alignment horizontal="center" readingOrder="0" vertical="bottom"/>
    </xf>
    <xf borderId="5" fillId="0" fontId="4" numFmtId="0" xfId="0" applyBorder="1" applyFont="1"/>
    <xf borderId="1" fillId="0" fontId="3" numFmtId="0" xfId="0" applyAlignment="1" applyBorder="1" applyFont="1">
      <alignment horizontal="center" vertical="bottom"/>
    </xf>
    <xf borderId="2" fillId="0" fontId="3" numFmtId="0" xfId="0" applyAlignment="1" applyBorder="1" applyFont="1">
      <alignment horizontal="center" readingOrder="0"/>
    </xf>
    <xf borderId="6" fillId="3" fontId="5" numFmtId="0" xfId="0" applyAlignment="1" applyBorder="1" applyFill="1" applyFont="1">
      <alignment horizontal="center" vertical="bottom"/>
    </xf>
    <xf borderId="7" fillId="0" fontId="4" numFmtId="0" xfId="0" applyBorder="1" applyFont="1"/>
    <xf borderId="8" fillId="3" fontId="5" numFmtId="0" xfId="0" applyAlignment="1" applyBorder="1" applyFont="1">
      <alignment horizontal="center" vertical="bottom"/>
    </xf>
    <xf borderId="9" fillId="0" fontId="6" numFmtId="0" xfId="0" applyAlignment="1" applyBorder="1" applyFont="1">
      <alignment horizontal="center" readingOrder="0" vertical="bottom"/>
    </xf>
    <xf borderId="10" fillId="0" fontId="4" numFmtId="0" xfId="0" applyBorder="1" applyFont="1"/>
    <xf borderId="11" fillId="0" fontId="4" numFmtId="0" xfId="0" applyBorder="1" applyFont="1"/>
    <xf borderId="0" fillId="0" fontId="3" numFmtId="0" xfId="0" applyAlignment="1" applyFont="1">
      <alignment vertical="bottom"/>
    </xf>
    <xf borderId="12" fillId="0" fontId="4" numFmtId="0" xfId="0" applyBorder="1" applyFont="1"/>
    <xf borderId="13" fillId="0" fontId="4" numFmtId="0" xfId="0" applyBorder="1" applyFont="1"/>
    <xf borderId="1" fillId="4" fontId="7" numFmtId="0" xfId="0" applyAlignment="1" applyBorder="1" applyFill="1" applyFont="1">
      <alignment horizontal="center" readingOrder="0" vertical="bottom"/>
    </xf>
    <xf borderId="14" fillId="5" fontId="7" numFmtId="0" xfId="0" applyAlignment="1" applyBorder="1" applyFill="1" applyFont="1">
      <alignment horizontal="center" vertical="bottom"/>
    </xf>
    <xf borderId="3" fillId="0" fontId="4" numFmtId="0" xfId="0" applyBorder="1" applyFont="1"/>
    <xf borderId="0" fillId="0" fontId="7" numFmtId="0" xfId="0" applyAlignment="1" applyFont="1">
      <alignment horizontal="center" vertical="bottom"/>
    </xf>
    <xf borderId="14" fillId="6" fontId="7" numFmtId="0" xfId="0" applyAlignment="1" applyBorder="1" applyFill="1" applyFont="1">
      <alignment horizontal="center" vertical="bottom"/>
    </xf>
    <xf borderId="15" fillId="0" fontId="4" numFmtId="0" xfId="0" applyBorder="1" applyFont="1"/>
    <xf borderId="14" fillId="7" fontId="7" numFmtId="0" xfId="0" applyAlignment="1" applyBorder="1" applyFill="1" applyFont="1">
      <alignment horizontal="center" vertical="bottom"/>
    </xf>
    <xf borderId="14" fillId="8" fontId="7" numFmtId="0" xfId="0" applyAlignment="1" applyBorder="1" applyFill="1" applyFont="1">
      <alignment horizontal="center" vertical="bottom"/>
    </xf>
    <xf borderId="14" fillId="2" fontId="7" numFmtId="0" xfId="0" applyAlignment="1" applyBorder="1" applyFont="1">
      <alignment horizontal="center" vertical="bottom"/>
    </xf>
    <xf borderId="1" fillId="9" fontId="7" numFmtId="0" xfId="0" applyAlignment="1" applyBorder="1" applyFill="1" applyFont="1">
      <alignment vertical="bottom"/>
    </xf>
    <xf borderId="1" fillId="10" fontId="7" numFmtId="0" xfId="0" applyAlignment="1" applyBorder="1" applyFill="1" applyFont="1">
      <alignment vertical="bottom"/>
    </xf>
    <xf borderId="16" fillId="0" fontId="3" numFmtId="0" xfId="0" applyAlignment="1" applyBorder="1" applyFont="1">
      <alignment vertical="bottom"/>
    </xf>
    <xf borderId="0" fillId="0" fontId="3" numFmtId="0" xfId="0" applyAlignment="1" applyFont="1">
      <alignment horizontal="center" vertical="bottom"/>
    </xf>
    <xf borderId="1" fillId="4" fontId="7" numFmtId="0" xfId="0" applyAlignment="1" applyBorder="1" applyFont="1">
      <alignment horizontal="center" vertical="bottom"/>
    </xf>
    <xf borderId="17" fillId="4" fontId="7" numFmtId="0" xfId="0" applyAlignment="1" applyBorder="1" applyFont="1">
      <alignment horizontal="center" vertical="bottom"/>
    </xf>
    <xf borderId="1" fillId="0" fontId="7" numFmtId="0" xfId="0" applyAlignment="1" applyBorder="1" applyFont="1">
      <alignment vertical="bottom"/>
    </xf>
    <xf borderId="1" fillId="0" fontId="8" numFmtId="0" xfId="0" applyAlignment="1" applyBorder="1" applyFont="1">
      <alignment horizontal="center" vertical="bottom"/>
    </xf>
    <xf borderId="1" fillId="0" fontId="7" numFmtId="0" xfId="0" applyAlignment="1" applyBorder="1" applyFont="1">
      <alignment horizontal="center" vertical="bottom"/>
    </xf>
    <xf borderId="1" fillId="2" fontId="7" numFmtId="0" xfId="0" applyAlignment="1" applyBorder="1" applyFont="1">
      <alignment horizontal="center" vertical="bottom"/>
    </xf>
    <xf borderId="1" fillId="0" fontId="7" numFmtId="164" xfId="0" applyAlignment="1" applyBorder="1" applyFont="1" applyNumberFormat="1">
      <alignment horizontal="center" vertical="bottom"/>
    </xf>
    <xf borderId="1" fillId="0" fontId="7" numFmtId="0" xfId="0" applyAlignment="1" applyBorder="1" applyFont="1">
      <alignment horizontal="center" readingOrder="0" vertical="bottom"/>
    </xf>
    <xf borderId="1" fillId="0" fontId="7" numFmtId="0" xfId="0" applyAlignment="1" applyBorder="1" applyFont="1">
      <alignment readingOrder="0" vertical="bottom"/>
    </xf>
    <xf borderId="1" fillId="0" fontId="8" numFmtId="0" xfId="0" applyAlignment="1" applyBorder="1" applyFont="1">
      <alignment horizontal="center" readingOrder="0" vertical="bottom"/>
    </xf>
    <xf borderId="1" fillId="0" fontId="3" numFmtId="0" xfId="0" applyAlignment="1" applyBorder="1" applyFont="1">
      <alignment readingOrder="0" vertical="bottom"/>
    </xf>
    <xf borderId="1" fillId="0" fontId="6" numFmtId="165" xfId="0" applyAlignment="1" applyBorder="1" applyFont="1" applyNumberFormat="1">
      <alignment horizontal="right" vertical="bottom"/>
    </xf>
    <xf borderId="1" fillId="0" fontId="6" numFmtId="0" xfId="0" applyAlignment="1" applyBorder="1" applyFont="1">
      <alignment horizontal="center" vertical="bottom"/>
    </xf>
    <xf borderId="1" fillId="0" fontId="3" numFmtId="165" xfId="0" applyAlignment="1" applyBorder="1" applyFont="1" applyNumberFormat="1">
      <alignment vertical="bottom"/>
    </xf>
    <xf borderId="0" fillId="2" fontId="3" numFmtId="10" xfId="0" applyAlignment="1" applyFont="1" applyNumberFormat="1">
      <alignment horizontal="right" vertical="bottom"/>
    </xf>
    <xf borderId="0" fillId="0" fontId="3" numFmtId="9" xfId="0" applyAlignment="1" applyFont="1" applyNumberFormat="1">
      <alignment vertical="bottom"/>
    </xf>
    <xf borderId="0" fillId="0" fontId="3" numFmtId="9" xfId="0" applyAlignment="1" applyFont="1" applyNumberFormat="1">
      <alignment readingOrder="0" vertical="bottom"/>
    </xf>
    <xf borderId="0" fillId="0" fontId="3" numFmtId="165" xfId="0" applyAlignment="1" applyFont="1" applyNumberFormat="1">
      <alignment vertical="bottom"/>
    </xf>
    <xf borderId="0" fillId="0" fontId="3" numFmtId="10" xfId="0" applyAlignment="1" applyFont="1" applyNumberFormat="1">
      <alignment vertical="bottom"/>
    </xf>
    <xf borderId="18" fillId="0" fontId="3" numFmtId="0" xfId="0" applyAlignment="1" applyBorder="1" applyFont="1">
      <alignment vertical="bottom"/>
    </xf>
    <xf borderId="19" fillId="0" fontId="4" numFmtId="0" xfId="0" applyBorder="1" applyFont="1"/>
    <xf borderId="20" fillId="0" fontId="4" numFmtId="0" xfId="0" applyBorder="1" applyFont="1"/>
    <xf borderId="2" fillId="0" fontId="3" numFmtId="0" xfId="0" applyAlignment="1" applyBorder="1" applyFont="1">
      <alignment vertical="bottom"/>
    </xf>
    <xf borderId="21" fillId="0" fontId="4" numFmtId="0" xfId="0" applyBorder="1" applyFont="1"/>
    <xf borderId="16" fillId="0" fontId="4" numFmtId="0" xfId="0" applyBorder="1" applyFont="1"/>
    <xf borderId="22" fillId="0" fontId="4" numFmtId="0" xfId="0" applyBorder="1" applyFont="1"/>
    <xf borderId="23" fillId="0" fontId="4" numFmtId="0" xfId="0" applyBorder="1" applyFont="1"/>
    <xf borderId="24" fillId="0" fontId="4" numFmtId="0" xfId="0" applyBorder="1" applyFont="1"/>
    <xf borderId="0" fillId="0" fontId="3" numFmtId="0" xfId="0" applyAlignment="1" applyFont="1">
      <alignment readingOrder="0" vertical="bottom"/>
    </xf>
    <xf borderId="14" fillId="7" fontId="7"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9.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c r="C2" s="4" t="s">
        <v>4</v>
      </c>
      <c r="D2" s="5"/>
      <c r="E2" s="5"/>
      <c r="F2" s="5"/>
      <c r="G2" s="5"/>
      <c r="H2" s="5"/>
      <c r="I2" s="5"/>
      <c r="J2" s="5"/>
      <c r="K2" s="5"/>
      <c r="L2" s="5"/>
      <c r="M2" s="5"/>
      <c r="N2" s="5"/>
      <c r="O2" s="5"/>
      <c r="P2" s="5"/>
      <c r="Q2" s="5"/>
      <c r="R2" s="5"/>
      <c r="S2" s="5"/>
      <c r="T2" s="5"/>
      <c r="U2" s="5"/>
      <c r="V2" s="5"/>
      <c r="W2" s="5"/>
      <c r="X2" s="5"/>
      <c r="Y2" s="5"/>
      <c r="Z2" s="5"/>
    </row>
    <row r="3">
      <c r="A3" s="5"/>
      <c r="B3" s="4" t="s">
        <v>5</v>
      </c>
      <c r="C3" s="5"/>
      <c r="D3" s="5"/>
      <c r="E3" s="5"/>
      <c r="F3" s="5"/>
      <c r="G3" s="5"/>
      <c r="H3" s="5"/>
      <c r="I3" s="5"/>
      <c r="J3" s="5"/>
      <c r="K3" s="5"/>
      <c r="L3" s="5"/>
      <c r="M3" s="5"/>
      <c r="N3" s="5"/>
      <c r="O3" s="5"/>
      <c r="P3" s="5"/>
      <c r="Q3" s="5"/>
      <c r="R3" s="5"/>
      <c r="S3" s="5"/>
      <c r="T3" s="5"/>
      <c r="U3" s="5"/>
      <c r="V3" s="5"/>
      <c r="W3" s="5"/>
      <c r="X3" s="5"/>
      <c r="Y3" s="5"/>
      <c r="Z3" s="5"/>
    </row>
    <row r="4">
      <c r="A4" s="5"/>
      <c r="B4" s="4" t="s">
        <v>6</v>
      </c>
      <c r="C4" s="5"/>
      <c r="D4" s="5"/>
      <c r="E4" s="5"/>
      <c r="F4" s="5"/>
      <c r="G4" s="5"/>
      <c r="H4" s="5"/>
      <c r="I4" s="5"/>
      <c r="J4" s="5"/>
      <c r="K4" s="5"/>
      <c r="L4" s="5"/>
      <c r="M4" s="5"/>
      <c r="N4" s="5"/>
      <c r="O4" s="5"/>
      <c r="P4" s="5"/>
      <c r="Q4" s="5"/>
      <c r="R4" s="5"/>
      <c r="S4" s="5"/>
      <c r="T4" s="5"/>
      <c r="U4" s="5"/>
      <c r="V4" s="5"/>
      <c r="W4" s="5"/>
      <c r="X4" s="5"/>
      <c r="Y4" s="5"/>
      <c r="Z4" s="5"/>
    </row>
    <row r="5">
      <c r="A5" s="5"/>
      <c r="B5" s="4" t="s">
        <v>7</v>
      </c>
      <c r="C5" s="5"/>
      <c r="D5" s="5"/>
      <c r="E5" s="5"/>
      <c r="F5" s="5"/>
      <c r="G5" s="5"/>
      <c r="H5" s="5"/>
      <c r="I5" s="5"/>
      <c r="J5" s="5"/>
      <c r="K5" s="5"/>
      <c r="L5" s="5"/>
      <c r="M5" s="5"/>
      <c r="N5" s="5"/>
      <c r="O5" s="5"/>
      <c r="P5" s="5"/>
      <c r="Q5" s="5"/>
      <c r="R5" s="5"/>
      <c r="S5" s="5"/>
      <c r="T5" s="5"/>
      <c r="U5" s="5"/>
      <c r="V5" s="5"/>
      <c r="W5" s="5"/>
      <c r="X5" s="5"/>
      <c r="Y5" s="5"/>
      <c r="Z5" s="5"/>
    </row>
    <row r="6">
      <c r="A6" s="5"/>
      <c r="B6" s="4" t="s">
        <v>8</v>
      </c>
      <c r="C6" s="5"/>
      <c r="D6" s="5"/>
      <c r="E6" s="5"/>
      <c r="F6" s="5"/>
      <c r="G6" s="5"/>
      <c r="H6" s="5"/>
      <c r="I6" s="5"/>
      <c r="J6" s="5"/>
      <c r="K6" s="5"/>
      <c r="L6" s="5"/>
      <c r="M6" s="5"/>
      <c r="N6" s="5"/>
      <c r="O6" s="5"/>
      <c r="P6" s="5"/>
      <c r="Q6" s="5"/>
      <c r="R6" s="5"/>
      <c r="S6" s="5"/>
      <c r="T6" s="5"/>
      <c r="U6" s="5"/>
      <c r="V6" s="5"/>
      <c r="W6" s="5"/>
      <c r="X6" s="5"/>
      <c r="Y6" s="5"/>
      <c r="Z6" s="5"/>
    </row>
    <row r="7">
      <c r="A7" s="3" t="s">
        <v>9</v>
      </c>
      <c r="B7" s="4" t="s">
        <v>10</v>
      </c>
      <c r="C7" s="5"/>
      <c r="D7" s="5"/>
      <c r="E7" s="5"/>
      <c r="F7" s="5"/>
      <c r="G7" s="5"/>
      <c r="H7" s="5"/>
      <c r="I7" s="5"/>
      <c r="J7" s="5"/>
      <c r="K7" s="5"/>
      <c r="L7" s="5"/>
      <c r="M7" s="5"/>
      <c r="N7" s="5"/>
      <c r="O7" s="5"/>
      <c r="P7" s="5"/>
      <c r="Q7" s="5"/>
      <c r="R7" s="5"/>
      <c r="S7" s="5"/>
      <c r="T7" s="5"/>
      <c r="U7" s="5"/>
      <c r="V7" s="5"/>
      <c r="W7" s="5"/>
      <c r="X7" s="5"/>
      <c r="Y7" s="5"/>
      <c r="Z7" s="5"/>
    </row>
    <row r="8">
      <c r="A8" s="3" t="s">
        <v>11</v>
      </c>
      <c r="B8" s="4" t="s">
        <v>12</v>
      </c>
      <c r="C8" s="4" t="s">
        <v>13</v>
      </c>
      <c r="D8" s="4" t="s">
        <v>14</v>
      </c>
      <c r="E8" s="5"/>
      <c r="F8" s="5"/>
      <c r="G8" s="5"/>
      <c r="H8" s="5"/>
      <c r="I8" s="5"/>
      <c r="J8" s="5"/>
      <c r="K8" s="5"/>
      <c r="L8" s="5"/>
      <c r="M8" s="5"/>
      <c r="N8" s="5"/>
      <c r="O8" s="5"/>
      <c r="P8" s="5"/>
      <c r="Q8" s="5"/>
      <c r="R8" s="5"/>
      <c r="S8" s="5"/>
      <c r="T8" s="5"/>
      <c r="U8" s="5"/>
      <c r="V8" s="5"/>
      <c r="W8" s="5"/>
      <c r="X8" s="5"/>
      <c r="Y8" s="5"/>
      <c r="Z8" s="5"/>
    </row>
    <row r="9">
      <c r="A9" s="4" t="s">
        <v>15</v>
      </c>
      <c r="B9" s="4" t="s">
        <v>16</v>
      </c>
      <c r="C9" s="4" t="s">
        <v>17</v>
      </c>
      <c r="D9" s="4" t="s">
        <v>18</v>
      </c>
      <c r="E9" s="4" t="s">
        <v>19</v>
      </c>
      <c r="F9" s="4" t="s">
        <v>20</v>
      </c>
      <c r="G9" s="4" t="s">
        <v>21</v>
      </c>
      <c r="H9" s="5"/>
      <c r="I9" s="5"/>
      <c r="J9" s="5"/>
      <c r="K9" s="5"/>
      <c r="L9" s="5"/>
      <c r="M9" s="5"/>
      <c r="N9" s="5"/>
      <c r="O9" s="5"/>
      <c r="P9" s="5"/>
      <c r="Q9" s="5"/>
      <c r="R9" s="5"/>
      <c r="S9" s="5"/>
      <c r="T9" s="5"/>
      <c r="U9" s="5"/>
      <c r="V9" s="5"/>
      <c r="W9" s="5"/>
      <c r="X9" s="5"/>
      <c r="Y9" s="5"/>
      <c r="Z9" s="5"/>
    </row>
    <row r="10">
      <c r="A10" s="4" t="s">
        <v>22</v>
      </c>
      <c r="B10" s="4" t="s">
        <v>23</v>
      </c>
      <c r="C10" s="4" t="s">
        <v>24</v>
      </c>
      <c r="D10" s="5"/>
      <c r="E10" s="5"/>
      <c r="F10" s="5"/>
      <c r="G10" s="5"/>
      <c r="H10" s="5"/>
      <c r="I10" s="5"/>
      <c r="J10" s="5"/>
      <c r="K10" s="5"/>
      <c r="L10" s="5"/>
      <c r="M10" s="5"/>
      <c r="N10" s="5"/>
      <c r="O10" s="5"/>
      <c r="P10" s="5"/>
      <c r="Q10" s="5"/>
      <c r="R10" s="5"/>
      <c r="S10" s="5"/>
      <c r="T10" s="5"/>
      <c r="U10" s="5"/>
      <c r="V10" s="5"/>
      <c r="W10" s="5"/>
      <c r="X10" s="5"/>
      <c r="Y10" s="5"/>
      <c r="Z10" s="5"/>
    </row>
    <row r="11">
      <c r="A11" s="4" t="s">
        <v>25</v>
      </c>
      <c r="B11" s="4" t="s">
        <v>26</v>
      </c>
      <c r="C11" s="5"/>
      <c r="D11" s="5"/>
      <c r="E11" s="5"/>
      <c r="F11" s="5"/>
      <c r="G11" s="5"/>
      <c r="H11" s="5"/>
      <c r="I11" s="5"/>
      <c r="J11" s="5"/>
      <c r="K11" s="5"/>
      <c r="L11" s="5"/>
      <c r="M11" s="5"/>
      <c r="N11" s="5"/>
      <c r="O11" s="5"/>
      <c r="P11" s="5"/>
      <c r="Q11" s="5"/>
      <c r="R11" s="5"/>
      <c r="S11" s="5"/>
      <c r="T11" s="5"/>
      <c r="U11" s="5"/>
      <c r="V11" s="5"/>
      <c r="W11" s="5"/>
      <c r="X11" s="5"/>
      <c r="Y11" s="5"/>
      <c r="Z11" s="5"/>
    </row>
    <row r="12">
      <c r="A12" s="4" t="s">
        <v>27</v>
      </c>
      <c r="B12" s="4" t="s">
        <v>28</v>
      </c>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6" max="6" width="18.75"/>
  </cols>
  <sheetData>
    <row r="2">
      <c r="A2" s="6" t="s">
        <v>29</v>
      </c>
      <c r="B2" s="6" t="s">
        <v>30</v>
      </c>
      <c r="C2" s="6" t="s">
        <v>31</v>
      </c>
      <c r="D2" s="6" t="s">
        <v>32</v>
      </c>
      <c r="E2" s="6" t="s">
        <v>33</v>
      </c>
      <c r="F2" s="6" t="s">
        <v>34</v>
      </c>
    </row>
    <row r="3">
      <c r="A3" s="7" t="s">
        <v>35</v>
      </c>
      <c r="B3" s="8" t="s">
        <v>36</v>
      </c>
      <c r="C3" s="9">
        <v>1.0</v>
      </c>
      <c r="D3" s="10">
        <v>80.0</v>
      </c>
      <c r="E3" s="9">
        <f t="shared" ref="E3:E17" si="1">D3*C3</f>
        <v>80</v>
      </c>
      <c r="F3" s="9">
        <f t="shared" ref="F3:F5" si="2">E3</f>
        <v>80</v>
      </c>
    </row>
    <row r="4">
      <c r="A4" s="11" t="s">
        <v>37</v>
      </c>
      <c r="B4" s="12" t="s">
        <v>38</v>
      </c>
      <c r="C4" s="9">
        <v>1.0</v>
      </c>
      <c r="D4" s="10">
        <v>120.0</v>
      </c>
      <c r="E4" s="9">
        <f t="shared" si="1"/>
        <v>120</v>
      </c>
      <c r="F4" s="9">
        <f t="shared" si="2"/>
        <v>120</v>
      </c>
    </row>
    <row r="5">
      <c r="A5" s="7" t="s">
        <v>39</v>
      </c>
      <c r="B5" s="8" t="s">
        <v>40</v>
      </c>
      <c r="C5" s="13">
        <v>1.0</v>
      </c>
      <c r="D5" s="10">
        <v>160.0</v>
      </c>
      <c r="E5" s="9">
        <f t="shared" si="1"/>
        <v>160</v>
      </c>
      <c r="F5" s="9">
        <f t="shared" si="2"/>
        <v>160</v>
      </c>
    </row>
    <row r="6">
      <c r="A6" s="14" t="s">
        <v>41</v>
      </c>
      <c r="B6" s="15" t="s">
        <v>42</v>
      </c>
      <c r="C6" s="9">
        <v>3.0</v>
      </c>
      <c r="D6" s="10">
        <v>16.0</v>
      </c>
      <c r="E6" s="9">
        <f t="shared" si="1"/>
        <v>48</v>
      </c>
      <c r="F6" s="16">
        <f>sum(E6:E14)</f>
        <v>731.5</v>
      </c>
    </row>
    <row r="7">
      <c r="A7" s="17"/>
      <c r="B7" s="8" t="s">
        <v>43</v>
      </c>
      <c r="C7" s="10">
        <v>750.0</v>
      </c>
      <c r="D7" s="10">
        <v>0.25</v>
      </c>
      <c r="E7" s="9">
        <f t="shared" si="1"/>
        <v>187.5</v>
      </c>
      <c r="F7" s="17"/>
    </row>
    <row r="8">
      <c r="A8" s="17"/>
      <c r="B8" s="8" t="s">
        <v>44</v>
      </c>
      <c r="C8" s="10">
        <v>4.0</v>
      </c>
      <c r="D8" s="10">
        <v>40.0</v>
      </c>
      <c r="E8" s="9">
        <f t="shared" si="1"/>
        <v>160</v>
      </c>
      <c r="F8" s="17"/>
    </row>
    <row r="9">
      <c r="A9" s="17"/>
      <c r="B9" s="8" t="s">
        <v>45</v>
      </c>
      <c r="C9" s="10">
        <v>100.0</v>
      </c>
      <c r="D9" s="9">
        <v>0.5</v>
      </c>
      <c r="E9" s="9">
        <f t="shared" si="1"/>
        <v>50</v>
      </c>
      <c r="F9" s="17"/>
    </row>
    <row r="10">
      <c r="A10" s="17"/>
      <c r="B10" s="8" t="s">
        <v>46</v>
      </c>
      <c r="C10" s="10">
        <v>15.0</v>
      </c>
      <c r="D10" s="9">
        <v>2.0</v>
      </c>
      <c r="E10" s="9">
        <f t="shared" si="1"/>
        <v>30</v>
      </c>
      <c r="F10" s="17"/>
    </row>
    <row r="11">
      <c r="A11" s="17"/>
      <c r="B11" s="8" t="s">
        <v>47</v>
      </c>
      <c r="C11" s="10">
        <v>80.0</v>
      </c>
      <c r="D11" s="9">
        <v>2.0</v>
      </c>
      <c r="E11" s="9">
        <f t="shared" si="1"/>
        <v>160</v>
      </c>
      <c r="F11" s="17"/>
    </row>
    <row r="12">
      <c r="A12" s="17"/>
      <c r="B12" s="8" t="s">
        <v>48</v>
      </c>
      <c r="C12" s="10">
        <v>3.0</v>
      </c>
      <c r="D12" s="10">
        <v>8.0</v>
      </c>
      <c r="E12" s="9">
        <f t="shared" si="1"/>
        <v>24</v>
      </c>
      <c r="F12" s="17"/>
    </row>
    <row r="13">
      <c r="A13" s="17"/>
      <c r="B13" s="8" t="s">
        <v>49</v>
      </c>
      <c r="C13" s="10">
        <v>2.0</v>
      </c>
      <c r="D13" s="18">
        <v>16.0</v>
      </c>
      <c r="E13" s="9">
        <f t="shared" si="1"/>
        <v>32</v>
      </c>
      <c r="F13" s="17"/>
    </row>
    <row r="14">
      <c r="A14" s="19"/>
      <c r="B14" s="8" t="s">
        <v>50</v>
      </c>
      <c r="C14" s="20">
        <v>1.0</v>
      </c>
      <c r="D14" s="18">
        <v>40.0</v>
      </c>
      <c r="E14" s="9">
        <f t="shared" si="1"/>
        <v>40</v>
      </c>
      <c r="F14" s="19"/>
    </row>
    <row r="15">
      <c r="A15" s="7" t="s">
        <v>51</v>
      </c>
      <c r="B15" s="8" t="s">
        <v>52</v>
      </c>
      <c r="C15" s="9">
        <v>1.0</v>
      </c>
      <c r="D15" s="10">
        <v>80.0</v>
      </c>
      <c r="E15" s="9">
        <f t="shared" si="1"/>
        <v>80</v>
      </c>
      <c r="F15" s="9">
        <f t="shared" ref="F15:F17" si="3">E15</f>
        <v>80</v>
      </c>
    </row>
    <row r="16">
      <c r="A16" s="7" t="s">
        <v>53</v>
      </c>
      <c r="B16" s="8" t="s">
        <v>54</v>
      </c>
      <c r="C16" s="9">
        <v>1.0</v>
      </c>
      <c r="D16" s="10">
        <v>80.0</v>
      </c>
      <c r="E16" s="9">
        <f t="shared" si="1"/>
        <v>80</v>
      </c>
      <c r="F16" s="9">
        <f t="shared" si="3"/>
        <v>80</v>
      </c>
    </row>
    <row r="17">
      <c r="A17" s="11" t="s">
        <v>55</v>
      </c>
      <c r="B17" s="12" t="s">
        <v>56</v>
      </c>
      <c r="C17" s="16">
        <v>1.0</v>
      </c>
      <c r="D17" s="21">
        <v>80.0</v>
      </c>
      <c r="E17" s="9">
        <f t="shared" si="1"/>
        <v>80</v>
      </c>
      <c r="F17" s="16">
        <f t="shared" si="3"/>
        <v>80</v>
      </c>
    </row>
    <row r="18">
      <c r="A18" s="22" t="s">
        <v>57</v>
      </c>
      <c r="B18" s="23"/>
      <c r="C18" s="23"/>
      <c r="D18" s="23"/>
      <c r="E18" s="23"/>
      <c r="F18" s="24">
        <f>SUM(F3:F17)</f>
        <v>1331.5</v>
      </c>
    </row>
  </sheetData>
  <mergeCells count="3">
    <mergeCell ref="A6:A14"/>
    <mergeCell ref="F6:F14"/>
    <mergeCell ref="A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3" width="7.75"/>
    <col customWidth="1" min="24" max="24" width="8.5"/>
    <col customWidth="1" min="25" max="25" width="7.75"/>
    <col customWidth="1" min="26" max="26" width="12.0"/>
    <col customWidth="1" min="27" max="28" width="7.75"/>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48">
        <v>173.0</v>
      </c>
      <c r="D12" s="49" t="s">
        <v>95</v>
      </c>
      <c r="E12" s="48">
        <v>94.0</v>
      </c>
      <c r="F12" s="50">
        <f t="shared" ref="F12:F19" si="1">Y12*E12</f>
        <v>41360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76120</v>
      </c>
      <c r="AA12" s="28"/>
      <c r="AB12" s="28"/>
    </row>
    <row r="13">
      <c r="A13" s="52" t="s">
        <v>96</v>
      </c>
      <c r="B13" s="47" t="s">
        <v>97</v>
      </c>
      <c r="C13" s="48">
        <v>189.0</v>
      </c>
      <c r="D13" s="49" t="s">
        <v>95</v>
      </c>
      <c r="E13" s="48">
        <v>88.0</v>
      </c>
      <c r="F13" s="50">
        <f t="shared" si="1"/>
        <v>37840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81270</v>
      </c>
      <c r="AA13" s="28"/>
      <c r="AB13" s="28"/>
    </row>
    <row r="14">
      <c r="A14" s="52" t="s">
        <v>98</v>
      </c>
      <c r="B14" s="47" t="s">
        <v>99</v>
      </c>
      <c r="C14" s="48">
        <v>158.0</v>
      </c>
      <c r="D14" s="49" t="s">
        <v>95</v>
      </c>
      <c r="E14" s="48">
        <v>88.0</v>
      </c>
      <c r="F14" s="50">
        <f t="shared" si="1"/>
        <v>61600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110600</v>
      </c>
      <c r="AA14" s="28"/>
      <c r="AB14" s="28"/>
    </row>
    <row r="15">
      <c r="A15" s="52" t="s">
        <v>100</v>
      </c>
      <c r="B15" s="53" t="s">
        <v>99</v>
      </c>
      <c r="C15" s="51">
        <v>50.0</v>
      </c>
      <c r="D15" s="48" t="s">
        <v>101</v>
      </c>
      <c r="E15" s="51">
        <v>22.0</v>
      </c>
      <c r="F15" s="50">
        <f t="shared" si="1"/>
        <v>5280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12000</v>
      </c>
      <c r="AA15" s="28"/>
      <c r="AB15" s="28"/>
    </row>
    <row r="16">
      <c r="A16" s="52" t="s">
        <v>102</v>
      </c>
      <c r="B16" s="53" t="s">
        <v>99</v>
      </c>
      <c r="C16" s="51">
        <v>50.0</v>
      </c>
      <c r="D16" s="48" t="s">
        <v>101</v>
      </c>
      <c r="E16" s="51">
        <v>22.0</v>
      </c>
      <c r="F16" s="50">
        <f t="shared" si="1"/>
        <v>5280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12000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53" t="s">
        <v>99</v>
      </c>
      <c r="C18" s="51">
        <v>50.0</v>
      </c>
      <c r="D18" s="48" t="s">
        <v>101</v>
      </c>
      <c r="E18" s="51">
        <v>22.0</v>
      </c>
      <c r="F18" s="50">
        <f t="shared" si="1"/>
        <v>6160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14000</v>
      </c>
      <c r="AA18" s="28"/>
      <c r="AB18" s="28"/>
    </row>
    <row r="19">
      <c r="A19" s="52" t="s">
        <v>105</v>
      </c>
      <c r="B19" s="53" t="s">
        <v>97</v>
      </c>
      <c r="C19" s="51">
        <v>44.0</v>
      </c>
      <c r="D19" s="48" t="s">
        <v>101</v>
      </c>
      <c r="E19" s="51">
        <v>16.0</v>
      </c>
      <c r="F19" s="50">
        <f t="shared" si="1"/>
        <v>3200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8800</v>
      </c>
      <c r="AA19" s="28"/>
      <c r="AB19" s="28"/>
    </row>
    <row r="20">
      <c r="A20" s="6"/>
      <c r="B20" s="6"/>
      <c r="C20" s="6"/>
      <c r="D20" s="6"/>
      <c r="E20" s="6"/>
      <c r="F20" s="55">
        <f>SUM(F12:F19)</f>
        <v>168400</v>
      </c>
      <c r="G20" s="6"/>
      <c r="H20" s="6"/>
      <c r="I20" s="6"/>
      <c r="J20" s="6"/>
      <c r="K20" s="6"/>
      <c r="L20" s="6"/>
      <c r="M20" s="6"/>
      <c r="N20" s="6"/>
      <c r="O20" s="6"/>
      <c r="P20" s="6"/>
      <c r="Q20" s="6"/>
      <c r="R20" s="6"/>
      <c r="S20" s="6"/>
      <c r="T20" s="6"/>
      <c r="U20" s="6"/>
      <c r="V20" s="6"/>
      <c r="W20" s="6"/>
      <c r="X20" s="6"/>
      <c r="Y20" s="56">
        <f t="shared" ref="Y20:Z20" si="4">SUM(Y12:Y19)</f>
        <v>3010</v>
      </c>
      <c r="Z20" s="55">
        <f t="shared" si="4"/>
        <v>335910</v>
      </c>
      <c r="AA20" s="28"/>
      <c r="AB20" s="57"/>
    </row>
    <row r="21">
      <c r="A21" s="28"/>
      <c r="B21" s="28"/>
      <c r="C21" s="28"/>
      <c r="D21" s="28"/>
      <c r="E21" s="28"/>
      <c r="F21" s="58">
        <f>(Z20-F20)/Z20</f>
        <v>0.4986752404</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58">
        <f>(Z22-F20)/Z22</f>
        <v>0.4429724893</v>
      </c>
      <c r="G22" s="28"/>
      <c r="H22" s="28"/>
      <c r="I22" s="28"/>
      <c r="J22" s="28"/>
      <c r="K22" s="28"/>
      <c r="L22" s="28"/>
      <c r="M22" s="28"/>
      <c r="N22" s="28"/>
      <c r="O22" s="28"/>
      <c r="P22" s="28"/>
      <c r="Q22" s="28"/>
      <c r="R22" s="28"/>
      <c r="S22" s="28"/>
      <c r="T22" s="28"/>
      <c r="U22" s="28"/>
      <c r="V22" s="28"/>
      <c r="W22" s="28"/>
      <c r="X22" s="28"/>
      <c r="Y22" s="60">
        <v>0.1</v>
      </c>
      <c r="Z22" s="61">
        <f>(Z20-(Z20*10%))</f>
        <v>302319</v>
      </c>
      <c r="AA22" s="62"/>
      <c r="AB22" s="28"/>
    </row>
    <row r="23">
      <c r="A23" s="28"/>
      <c r="B23" s="28"/>
      <c r="C23" s="28"/>
      <c r="D23" s="28"/>
      <c r="E23" s="28"/>
      <c r="F23" s="58">
        <f>(Z23-F20)/Z23</f>
        <v>0.3733440505</v>
      </c>
      <c r="G23" s="28"/>
      <c r="H23" s="28"/>
      <c r="I23" s="28"/>
      <c r="J23" s="28"/>
      <c r="K23" s="28"/>
      <c r="L23" s="28"/>
      <c r="M23" s="28"/>
      <c r="N23" s="28"/>
      <c r="O23" s="28"/>
      <c r="P23" s="28"/>
      <c r="Q23" s="28"/>
      <c r="R23" s="28"/>
      <c r="S23" s="28"/>
      <c r="T23" s="28"/>
      <c r="U23" s="28"/>
      <c r="V23" s="28"/>
      <c r="W23" s="28"/>
      <c r="X23" s="28"/>
      <c r="Y23" s="60">
        <v>0.2</v>
      </c>
      <c r="Z23" s="61">
        <f>(Z20-(Z20*20%))</f>
        <v>268728</v>
      </c>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S7:T7"/>
    <mergeCell ref="U8:V8"/>
    <mergeCell ref="A1:X2"/>
    <mergeCell ref="G4:H4"/>
    <mergeCell ref="H5:J5"/>
    <mergeCell ref="K6:L6"/>
    <mergeCell ref="M6:N6"/>
    <mergeCell ref="O6:P6"/>
    <mergeCell ref="Q6:R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7.75"/>
    <col customWidth="1" min="18" max="18" width="8.5"/>
    <col customWidth="1" min="19" max="24" width="7.75"/>
  </cols>
  <sheetData>
    <row r="3">
      <c r="C3" s="31" t="s">
        <v>59</v>
      </c>
      <c r="D3" s="31" t="s">
        <v>60</v>
      </c>
      <c r="E3" s="31" t="s">
        <v>61</v>
      </c>
      <c r="F3" s="31" t="s">
        <v>62</v>
      </c>
      <c r="G3" s="31" t="s">
        <v>63</v>
      </c>
      <c r="H3" s="31" t="s">
        <v>64</v>
      </c>
      <c r="I3" s="31" t="s">
        <v>65</v>
      </c>
      <c r="J3" s="31" t="s">
        <v>66</v>
      </c>
      <c r="K3" s="31" t="s">
        <v>67</v>
      </c>
      <c r="L3" s="31" t="s">
        <v>68</v>
      </c>
      <c r="M3" s="31" t="s">
        <v>69</v>
      </c>
      <c r="N3" s="31" t="s">
        <v>70</v>
      </c>
      <c r="O3" s="31" t="s">
        <v>71</v>
      </c>
      <c r="P3" s="31" t="s">
        <v>72</v>
      </c>
      <c r="Q3" s="31" t="s">
        <v>73</v>
      </c>
      <c r="R3" s="31" t="s">
        <v>74</v>
      </c>
    </row>
    <row r="4">
      <c r="C4" s="32" t="s">
        <v>77</v>
      </c>
      <c r="D4" s="33"/>
      <c r="E4" s="48"/>
      <c r="F4" s="6"/>
      <c r="G4" s="63"/>
      <c r="H4" s="64"/>
      <c r="I4" s="64"/>
      <c r="J4" s="64"/>
      <c r="K4" s="64"/>
      <c r="L4" s="65"/>
      <c r="M4" s="63"/>
      <c r="N4" s="65"/>
      <c r="O4" s="63"/>
      <c r="P4" s="65"/>
      <c r="Q4" s="66"/>
      <c r="R4" s="66"/>
    </row>
    <row r="5">
      <c r="C5" s="66"/>
      <c r="D5" s="35" t="s">
        <v>78</v>
      </c>
      <c r="E5" s="36"/>
      <c r="F5" s="33"/>
      <c r="G5" s="67"/>
      <c r="H5" s="68"/>
      <c r="I5" s="68"/>
      <c r="J5" s="68"/>
      <c r="K5" s="68"/>
      <c r="L5" s="69"/>
      <c r="M5" s="70"/>
      <c r="N5" s="71"/>
      <c r="O5" s="70"/>
      <c r="P5" s="71"/>
      <c r="Q5" s="17"/>
      <c r="R5" s="17"/>
    </row>
    <row r="6">
      <c r="C6" s="17"/>
      <c r="D6" s="63"/>
      <c r="E6" s="64"/>
      <c r="F6" s="65"/>
      <c r="G6" s="37" t="s">
        <v>79</v>
      </c>
      <c r="H6" s="33"/>
      <c r="I6" s="37" t="s">
        <v>80</v>
      </c>
      <c r="J6" s="33"/>
      <c r="K6" s="37" t="s">
        <v>81</v>
      </c>
      <c r="L6" s="33"/>
      <c r="M6" s="67"/>
      <c r="N6" s="69"/>
      <c r="O6" s="70"/>
      <c r="P6" s="71"/>
      <c r="Q6" s="17"/>
      <c r="R6" s="17"/>
    </row>
    <row r="7">
      <c r="C7" s="17"/>
      <c r="D7" s="70"/>
      <c r="F7" s="71"/>
      <c r="G7" s="63"/>
      <c r="H7" s="65"/>
      <c r="I7" s="63"/>
      <c r="J7" s="65"/>
      <c r="K7" s="63"/>
      <c r="L7" s="65"/>
      <c r="M7" s="38" t="s">
        <v>51</v>
      </c>
      <c r="N7" s="33"/>
      <c r="O7" s="67"/>
      <c r="P7" s="69"/>
      <c r="Q7" s="17"/>
      <c r="R7" s="17"/>
    </row>
    <row r="8">
      <c r="C8" s="17"/>
      <c r="D8" s="70"/>
      <c r="F8" s="71"/>
      <c r="G8" s="70"/>
      <c r="H8" s="71"/>
      <c r="I8" s="70"/>
      <c r="J8" s="71"/>
      <c r="K8" s="70"/>
      <c r="L8" s="71"/>
      <c r="M8" s="63"/>
      <c r="N8" s="65"/>
      <c r="O8" s="39" t="s">
        <v>83</v>
      </c>
      <c r="P8" s="33"/>
      <c r="Q8" s="19"/>
      <c r="R8" s="19"/>
    </row>
    <row r="9">
      <c r="C9" s="17"/>
      <c r="D9" s="70"/>
      <c r="F9" s="71"/>
      <c r="G9" s="70"/>
      <c r="H9" s="71"/>
      <c r="I9" s="70"/>
      <c r="J9" s="71"/>
      <c r="K9" s="70"/>
      <c r="L9" s="71"/>
      <c r="M9" s="70"/>
      <c r="N9" s="71"/>
      <c r="O9" s="63"/>
      <c r="P9" s="65"/>
      <c r="Q9" s="40" t="s">
        <v>84</v>
      </c>
      <c r="R9" s="41" t="s">
        <v>85</v>
      </c>
    </row>
    <row r="10">
      <c r="C10" s="19"/>
      <c r="D10" s="67"/>
      <c r="E10" s="68"/>
      <c r="F10" s="69"/>
      <c r="G10" s="67"/>
      <c r="H10" s="69"/>
      <c r="I10" s="67"/>
      <c r="J10" s="69"/>
      <c r="K10" s="67"/>
      <c r="L10" s="69"/>
      <c r="M10" s="67"/>
      <c r="N10" s="69"/>
      <c r="O10" s="67"/>
      <c r="P10" s="69"/>
      <c r="Q10" s="20"/>
      <c r="R10" s="20"/>
    </row>
  </sheetData>
  <mergeCells count="19">
    <mergeCell ref="D5:F5"/>
    <mergeCell ref="D6:F10"/>
    <mergeCell ref="G6:H6"/>
    <mergeCell ref="I6:J6"/>
    <mergeCell ref="K6:L6"/>
    <mergeCell ref="G7:H10"/>
    <mergeCell ref="I7:J10"/>
    <mergeCell ref="K7:L10"/>
    <mergeCell ref="M7:N7"/>
    <mergeCell ref="M8:N10"/>
    <mergeCell ref="O8:P8"/>
    <mergeCell ref="O9:P10"/>
    <mergeCell ref="C4:D4"/>
    <mergeCell ref="G4:L5"/>
    <mergeCell ref="M4:N6"/>
    <mergeCell ref="O4:P7"/>
    <mergeCell ref="Q4:Q8"/>
    <mergeCell ref="R4:R8"/>
    <mergeCell ref="C5:C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4.38"/>
    <col customWidth="1" min="25" max="25" width="8.63"/>
    <col customWidth="1" min="26" max="26" width="8.0"/>
    <col customWidth="1" min="27" max="28" width="4.13"/>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51">
        <v>55.0</v>
      </c>
      <c r="D12" s="51" t="s">
        <v>106</v>
      </c>
      <c r="E12" s="51">
        <v>43.0</v>
      </c>
      <c r="F12" s="50">
        <f t="shared" ref="F12:F19" si="1">Y12*E12</f>
        <v>18920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24200</v>
      </c>
      <c r="AA12" s="28"/>
      <c r="AB12" s="28"/>
    </row>
    <row r="13">
      <c r="A13" s="52" t="s">
        <v>96</v>
      </c>
      <c r="B13" s="47" t="s">
        <v>97</v>
      </c>
      <c r="C13" s="51">
        <v>189.0</v>
      </c>
      <c r="D13" s="48" t="s">
        <v>101</v>
      </c>
      <c r="E13" s="51">
        <v>88.0</v>
      </c>
      <c r="F13" s="50">
        <f t="shared" si="1"/>
        <v>37840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81270</v>
      </c>
      <c r="AA13" s="28"/>
      <c r="AB13" s="28"/>
    </row>
    <row r="14">
      <c r="A14" s="52" t="s">
        <v>98</v>
      </c>
      <c r="B14" s="47" t="s">
        <v>99</v>
      </c>
      <c r="C14" s="51">
        <v>83.0</v>
      </c>
      <c r="D14" s="48" t="s">
        <v>101</v>
      </c>
      <c r="E14" s="51">
        <v>59.0</v>
      </c>
      <c r="F14" s="50">
        <f t="shared" si="1"/>
        <v>41300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58100</v>
      </c>
      <c r="AA14" s="28"/>
      <c r="AB14" s="28"/>
    </row>
    <row r="15">
      <c r="A15" s="52" t="s">
        <v>107</v>
      </c>
      <c r="B15" s="47" t="s">
        <v>94</v>
      </c>
      <c r="C15" s="48">
        <v>55.0</v>
      </c>
      <c r="D15" s="48" t="s">
        <v>101</v>
      </c>
      <c r="E15" s="48">
        <v>27.0</v>
      </c>
      <c r="F15" s="50">
        <f t="shared" si="1"/>
        <v>6480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13200</v>
      </c>
      <c r="AA15" s="28"/>
      <c r="AB15" s="28"/>
    </row>
    <row r="16">
      <c r="A16" s="46" t="s">
        <v>108</v>
      </c>
      <c r="B16" s="47" t="s">
        <v>94</v>
      </c>
      <c r="C16" s="48">
        <v>55.0</v>
      </c>
      <c r="D16" s="48" t="s">
        <v>101</v>
      </c>
      <c r="E16" s="48">
        <v>27.0</v>
      </c>
      <c r="F16" s="50">
        <f t="shared" si="1"/>
        <v>6480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13200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47" t="s">
        <v>94</v>
      </c>
      <c r="C18" s="48">
        <v>55.0</v>
      </c>
      <c r="D18" s="48" t="s">
        <v>101</v>
      </c>
      <c r="E18" s="48">
        <v>27.0</v>
      </c>
      <c r="F18" s="50">
        <f t="shared" si="1"/>
        <v>7560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15400</v>
      </c>
      <c r="AA18" s="28"/>
      <c r="AB18" s="28"/>
    </row>
    <row r="19">
      <c r="A19" s="46" t="s">
        <v>109</v>
      </c>
      <c r="B19" s="47" t="s">
        <v>94</v>
      </c>
      <c r="C19" s="48">
        <v>55.0</v>
      </c>
      <c r="D19" s="48" t="s">
        <v>101</v>
      </c>
      <c r="E19" s="48">
        <v>27.0</v>
      </c>
      <c r="F19" s="50">
        <f t="shared" si="1"/>
        <v>5400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11000</v>
      </c>
      <c r="AA19" s="28"/>
      <c r="AB19" s="28"/>
    </row>
    <row r="20">
      <c r="A20" s="6"/>
      <c r="B20" s="6"/>
      <c r="C20" s="6"/>
      <c r="D20" s="6"/>
      <c r="E20" s="6"/>
      <c r="F20" s="55">
        <f>SUM(F12:F19)</f>
        <v>131660</v>
      </c>
      <c r="G20" s="6"/>
      <c r="H20" s="6"/>
      <c r="I20" s="6"/>
      <c r="J20" s="6"/>
      <c r="K20" s="6"/>
      <c r="L20" s="6"/>
      <c r="M20" s="6"/>
      <c r="N20" s="6"/>
      <c r="O20" s="6"/>
      <c r="P20" s="6"/>
      <c r="Q20" s="6"/>
      <c r="R20" s="6"/>
      <c r="S20" s="6"/>
      <c r="T20" s="6"/>
      <c r="U20" s="6"/>
      <c r="V20" s="6"/>
      <c r="W20" s="6"/>
      <c r="X20" s="6"/>
      <c r="Y20" s="56">
        <f t="shared" ref="Y20:Z20" si="4">SUM(Y12:Y19)</f>
        <v>3010</v>
      </c>
      <c r="Z20" s="55">
        <f t="shared" si="4"/>
        <v>237490</v>
      </c>
      <c r="AA20" s="28"/>
      <c r="AB20" s="57"/>
    </row>
    <row r="21">
      <c r="A21" s="28"/>
      <c r="B21" s="28"/>
      <c r="C21" s="28"/>
      <c r="D21" s="28"/>
      <c r="E21" s="28"/>
      <c r="F21" s="58">
        <f>(Z20-F20)/Z20</f>
        <v>0.4456187629</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62"/>
      <c r="G22" s="28"/>
      <c r="H22" s="28"/>
      <c r="I22" s="28"/>
      <c r="J22" s="28"/>
      <c r="K22" s="28"/>
      <c r="L22" s="28"/>
      <c r="M22" s="28"/>
      <c r="N22" s="28"/>
      <c r="O22" s="28"/>
      <c r="P22" s="28"/>
      <c r="Q22" s="28"/>
      <c r="R22" s="28"/>
      <c r="S22" s="28"/>
      <c r="T22" s="28"/>
      <c r="U22" s="28"/>
      <c r="V22" s="28"/>
      <c r="W22" s="28"/>
      <c r="X22" s="28"/>
      <c r="Y22" s="72" t="s">
        <v>110</v>
      </c>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S7:T7"/>
    <mergeCell ref="U8:V8"/>
    <mergeCell ref="A1:X2"/>
    <mergeCell ref="G4:H4"/>
    <mergeCell ref="H5:J5"/>
    <mergeCell ref="K6:L6"/>
    <mergeCell ref="M6:N6"/>
    <mergeCell ref="O6:P6"/>
    <mergeCell ref="Q6:R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4.38"/>
    <col customWidth="1" min="25" max="25" width="8.63"/>
    <col customWidth="1" min="26" max="26" width="8.0"/>
    <col customWidth="1" min="27" max="28" width="4.13"/>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51">
        <v>55.0</v>
      </c>
      <c r="D12" s="51" t="s">
        <v>106</v>
      </c>
      <c r="E12" s="51">
        <v>43.0</v>
      </c>
      <c r="F12" s="50">
        <f t="shared" ref="F12:F19" si="1">Y12*E12</f>
        <v>18920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24200</v>
      </c>
      <c r="AA12" s="28"/>
      <c r="AB12" s="28"/>
    </row>
    <row r="13">
      <c r="A13" s="52" t="s">
        <v>96</v>
      </c>
      <c r="B13" s="47" t="s">
        <v>97</v>
      </c>
      <c r="C13" s="51">
        <v>189.0</v>
      </c>
      <c r="D13" s="48" t="s">
        <v>101</v>
      </c>
      <c r="E13" s="51">
        <v>88.0</v>
      </c>
      <c r="F13" s="50">
        <f t="shared" si="1"/>
        <v>37840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81270</v>
      </c>
      <c r="AA13" s="28"/>
      <c r="AB13" s="28"/>
    </row>
    <row r="14">
      <c r="A14" s="52" t="s">
        <v>98</v>
      </c>
      <c r="B14" s="47" t="s">
        <v>99</v>
      </c>
      <c r="C14" s="51">
        <v>83.0</v>
      </c>
      <c r="D14" s="48" t="s">
        <v>101</v>
      </c>
      <c r="E14" s="51">
        <v>59.0</v>
      </c>
      <c r="F14" s="50">
        <f t="shared" si="1"/>
        <v>41300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58100</v>
      </c>
      <c r="AA14" s="28"/>
      <c r="AB14" s="28"/>
    </row>
    <row r="15">
      <c r="A15" s="52" t="s">
        <v>107</v>
      </c>
      <c r="B15" s="47" t="s">
        <v>94</v>
      </c>
      <c r="C15" s="48">
        <v>55.0</v>
      </c>
      <c r="D15" s="48" t="s">
        <v>101</v>
      </c>
      <c r="E15" s="48">
        <v>27.0</v>
      </c>
      <c r="F15" s="50">
        <f t="shared" si="1"/>
        <v>6480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13200</v>
      </c>
      <c r="AA15" s="28"/>
      <c r="AB15" s="28"/>
    </row>
    <row r="16">
      <c r="A16" s="46" t="s">
        <v>108</v>
      </c>
      <c r="B16" s="47" t="s">
        <v>94</v>
      </c>
      <c r="C16" s="48">
        <v>55.0</v>
      </c>
      <c r="D16" s="48" t="s">
        <v>101</v>
      </c>
      <c r="E16" s="48">
        <v>27.0</v>
      </c>
      <c r="F16" s="50">
        <f t="shared" si="1"/>
        <v>6480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13200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47" t="s">
        <v>94</v>
      </c>
      <c r="C18" s="48">
        <v>55.0</v>
      </c>
      <c r="D18" s="48" t="s">
        <v>101</v>
      </c>
      <c r="E18" s="48">
        <v>27.0</v>
      </c>
      <c r="F18" s="50">
        <f t="shared" si="1"/>
        <v>7560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15400</v>
      </c>
      <c r="AA18" s="28"/>
      <c r="AB18" s="28"/>
    </row>
    <row r="19">
      <c r="A19" s="46" t="s">
        <v>109</v>
      </c>
      <c r="B19" s="47" t="s">
        <v>94</v>
      </c>
      <c r="C19" s="48">
        <v>55.0</v>
      </c>
      <c r="D19" s="48" t="s">
        <v>101</v>
      </c>
      <c r="E19" s="48">
        <v>27.0</v>
      </c>
      <c r="F19" s="50">
        <f t="shared" si="1"/>
        <v>5400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11000</v>
      </c>
      <c r="AA19" s="28"/>
      <c r="AB19" s="28"/>
    </row>
    <row r="20">
      <c r="A20" s="6"/>
      <c r="B20" s="6"/>
      <c r="C20" s="6"/>
      <c r="D20" s="6"/>
      <c r="E20" s="6"/>
      <c r="F20" s="55">
        <f>SUM(F12:F19)</f>
        <v>131660</v>
      </c>
      <c r="G20" s="6"/>
      <c r="H20" s="6"/>
      <c r="I20" s="6"/>
      <c r="J20" s="6"/>
      <c r="K20" s="6"/>
      <c r="L20" s="6"/>
      <c r="M20" s="6"/>
      <c r="N20" s="6"/>
      <c r="O20" s="6"/>
      <c r="P20" s="6"/>
      <c r="Q20" s="6"/>
      <c r="R20" s="6"/>
      <c r="S20" s="6"/>
      <c r="T20" s="6"/>
      <c r="U20" s="6"/>
      <c r="V20" s="6"/>
      <c r="W20" s="6"/>
      <c r="X20" s="6"/>
      <c r="Y20" s="56">
        <f t="shared" ref="Y20:Z20" si="4">SUM(Y12:Y19)</f>
        <v>3010</v>
      </c>
      <c r="Z20" s="55">
        <f t="shared" si="4"/>
        <v>237490</v>
      </c>
      <c r="AA20" s="28"/>
      <c r="AB20" s="57"/>
    </row>
    <row r="21">
      <c r="A21" s="28"/>
      <c r="B21" s="28"/>
      <c r="C21" s="28"/>
      <c r="D21" s="28"/>
      <c r="E21" s="28"/>
      <c r="F21" s="58">
        <f>(Z20-F20)/Z20</f>
        <v>0.4456187629</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62"/>
      <c r="G22" s="28"/>
      <c r="H22" s="28"/>
      <c r="I22" s="28"/>
      <c r="J22" s="28"/>
      <c r="K22" s="28"/>
      <c r="L22" s="28"/>
      <c r="M22" s="28"/>
      <c r="N22" s="28"/>
      <c r="O22" s="28"/>
      <c r="P22" s="28"/>
      <c r="Q22" s="28"/>
      <c r="R22" s="28"/>
      <c r="S22" s="28"/>
      <c r="T22" s="28"/>
      <c r="U22" s="28"/>
      <c r="V22" s="28"/>
      <c r="W22" s="28"/>
      <c r="X22" s="28"/>
      <c r="Y22" s="72" t="s">
        <v>110</v>
      </c>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O6:P6"/>
    <mergeCell ref="Q6:R6"/>
    <mergeCell ref="S7:T7"/>
    <mergeCell ref="U8:V8"/>
    <mergeCell ref="A1:X2"/>
    <mergeCell ref="G4:H4"/>
    <mergeCell ref="H5:J5"/>
    <mergeCell ref="K6:L6"/>
    <mergeCell ref="M6:N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0" width="4.13"/>
    <col customWidth="1" min="21" max="21" width="6.0"/>
    <col customWidth="1" min="22" max="22" width="8.88"/>
    <col customWidth="1" min="23" max="23" width="8.63"/>
    <col customWidth="1" min="24" max="24" width="8.0"/>
    <col customWidth="1" min="25" max="26" width="4.13"/>
  </cols>
  <sheetData>
    <row r="1">
      <c r="A1" s="25" t="s">
        <v>58</v>
      </c>
      <c r="B1" s="26"/>
      <c r="C1" s="26"/>
      <c r="D1" s="26"/>
      <c r="E1" s="26"/>
      <c r="F1" s="26"/>
      <c r="G1" s="26"/>
      <c r="H1" s="26"/>
      <c r="I1" s="26"/>
      <c r="J1" s="26"/>
      <c r="K1" s="26"/>
      <c r="L1" s="26"/>
      <c r="M1" s="26"/>
      <c r="N1" s="26"/>
      <c r="O1" s="26"/>
      <c r="P1" s="26"/>
      <c r="Q1" s="26"/>
      <c r="R1" s="26"/>
      <c r="S1" s="26"/>
      <c r="T1" s="26"/>
      <c r="U1" s="26"/>
      <c r="V1" s="27"/>
      <c r="W1" s="28"/>
      <c r="X1" s="28"/>
      <c r="Y1" s="28"/>
      <c r="Z1" s="28"/>
    </row>
    <row r="2">
      <c r="A2" s="29"/>
      <c r="V2" s="30"/>
      <c r="W2" s="28"/>
      <c r="X2" s="28"/>
      <c r="Y2" s="28"/>
      <c r="Z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28"/>
      <c r="X3" s="28"/>
      <c r="Y3" s="28"/>
      <c r="Z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row>
    <row r="5">
      <c r="A5" s="28"/>
      <c r="B5" s="28"/>
      <c r="C5" s="28"/>
      <c r="D5" s="28"/>
      <c r="E5" s="28"/>
      <c r="F5" s="28"/>
      <c r="G5" s="28"/>
      <c r="H5" s="35" t="s">
        <v>78</v>
      </c>
      <c r="I5" s="36"/>
      <c r="J5" s="36"/>
      <c r="K5" s="34"/>
      <c r="M5" s="28"/>
      <c r="N5" s="28"/>
      <c r="O5" s="28"/>
      <c r="P5" s="28"/>
      <c r="Q5" s="28"/>
      <c r="R5" s="28"/>
      <c r="S5" s="28"/>
      <c r="T5" s="28"/>
      <c r="U5" s="28"/>
      <c r="V5" s="28"/>
      <c r="W5" s="28"/>
      <c r="X5" s="28"/>
      <c r="Y5" s="28"/>
      <c r="Z5" s="28"/>
    </row>
    <row r="6">
      <c r="A6" s="28"/>
      <c r="B6" s="28"/>
      <c r="C6" s="28"/>
      <c r="D6" s="28"/>
      <c r="E6" s="28"/>
      <c r="F6" s="28"/>
      <c r="G6" s="28"/>
      <c r="H6" s="28"/>
      <c r="I6" s="28"/>
      <c r="J6" s="28"/>
      <c r="K6" s="37" t="s">
        <v>79</v>
      </c>
      <c r="L6" s="33"/>
      <c r="M6" s="73" t="s">
        <v>80</v>
      </c>
      <c r="N6" s="33"/>
      <c r="O6" s="73" t="s">
        <v>81</v>
      </c>
      <c r="P6" s="33"/>
      <c r="Q6" s="28"/>
      <c r="R6" s="28"/>
      <c r="S6" s="28"/>
      <c r="T6" s="28"/>
      <c r="U6" s="28"/>
      <c r="V6" s="28"/>
      <c r="W6" s="28"/>
      <c r="X6" s="28"/>
      <c r="Y6" s="28"/>
      <c r="Z6" s="28"/>
    </row>
    <row r="7">
      <c r="A7" s="28"/>
      <c r="B7" s="28"/>
      <c r="C7" s="28"/>
      <c r="D7" s="28"/>
      <c r="E7" s="28"/>
      <c r="F7" s="28"/>
      <c r="G7" s="28"/>
      <c r="H7" s="28"/>
      <c r="I7" s="28"/>
      <c r="J7" s="28"/>
      <c r="K7" s="28"/>
      <c r="L7" s="28"/>
      <c r="M7" s="28"/>
      <c r="N7" s="28"/>
      <c r="O7" s="28"/>
      <c r="P7" s="28"/>
      <c r="Q7" s="38" t="s">
        <v>51</v>
      </c>
      <c r="R7" s="33"/>
      <c r="S7" s="28"/>
      <c r="T7" s="28"/>
      <c r="U7" s="28"/>
      <c r="V7" s="28"/>
      <c r="W7" s="28"/>
      <c r="X7" s="28"/>
      <c r="Y7" s="28"/>
      <c r="Z7" s="28"/>
    </row>
    <row r="8">
      <c r="A8" s="28"/>
      <c r="B8" s="28"/>
      <c r="C8" s="28"/>
      <c r="D8" s="28"/>
      <c r="E8" s="28"/>
      <c r="F8" s="28"/>
      <c r="G8" s="28"/>
      <c r="H8" s="28"/>
      <c r="I8" s="28"/>
      <c r="J8" s="28"/>
      <c r="K8" s="28"/>
      <c r="L8" s="28"/>
      <c r="M8" s="28"/>
      <c r="N8" s="28"/>
      <c r="O8" s="28"/>
      <c r="P8" s="28"/>
      <c r="Q8" s="28"/>
      <c r="R8" s="28"/>
      <c r="S8" s="39" t="s">
        <v>83</v>
      </c>
      <c r="T8" s="33"/>
      <c r="U8" s="28"/>
      <c r="V8" s="28"/>
      <c r="W8" s="28"/>
      <c r="X8" s="28"/>
      <c r="Y8" s="28"/>
      <c r="Z8" s="28"/>
    </row>
    <row r="9">
      <c r="A9" s="28"/>
      <c r="B9" s="28"/>
      <c r="C9" s="28"/>
      <c r="D9" s="28"/>
      <c r="E9" s="28"/>
      <c r="F9" s="28"/>
      <c r="G9" s="28"/>
      <c r="H9" s="28"/>
      <c r="I9" s="28"/>
      <c r="J9" s="28"/>
      <c r="K9" s="28"/>
      <c r="L9" s="28"/>
      <c r="M9" s="28"/>
      <c r="N9" s="28"/>
      <c r="O9" s="28"/>
      <c r="P9" s="28"/>
      <c r="Q9" s="28"/>
      <c r="R9" s="28"/>
      <c r="S9" s="28"/>
      <c r="T9" s="28"/>
      <c r="U9" s="40" t="s">
        <v>84</v>
      </c>
      <c r="V9" s="41" t="s">
        <v>85</v>
      </c>
      <c r="W9" s="28"/>
      <c r="X9" s="28"/>
      <c r="Y9" s="28"/>
      <c r="Z9" s="28"/>
    </row>
    <row r="10">
      <c r="A10" s="28"/>
      <c r="B10" s="28"/>
      <c r="C10" s="28"/>
      <c r="D10" s="28"/>
      <c r="E10" s="28"/>
      <c r="F10" s="28"/>
      <c r="G10" s="42"/>
      <c r="H10" s="42"/>
      <c r="I10" s="42"/>
      <c r="J10" s="42"/>
      <c r="K10" s="42"/>
      <c r="L10" s="42"/>
      <c r="M10" s="43"/>
      <c r="N10" s="43"/>
      <c r="O10" s="43"/>
      <c r="P10" s="43"/>
      <c r="Q10" s="43"/>
      <c r="R10" s="43"/>
      <c r="S10" s="43"/>
      <c r="T10" s="43"/>
      <c r="U10" s="43"/>
      <c r="V10" s="43"/>
      <c r="W10" s="28"/>
      <c r="X10" s="28"/>
      <c r="Y10" s="28"/>
      <c r="Z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45" t="s">
        <v>57</v>
      </c>
      <c r="X11" s="45" t="s">
        <v>92</v>
      </c>
      <c r="Y11" s="28"/>
      <c r="Z11" s="28"/>
    </row>
    <row r="12">
      <c r="A12" s="46" t="s">
        <v>93</v>
      </c>
      <c r="B12" s="47" t="s">
        <v>94</v>
      </c>
      <c r="C12" s="51">
        <v>55.0</v>
      </c>
      <c r="D12" s="51" t="s">
        <v>106</v>
      </c>
      <c r="E12" s="51">
        <v>43.0</v>
      </c>
      <c r="F12" s="50">
        <f t="shared" ref="F12:F18" si="1">W12*E12</f>
        <v>17200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48">
        <v>20.0</v>
      </c>
      <c r="W12" s="48">
        <f t="shared" ref="W12:W18" si="2">SUM(G12:V12)</f>
        <v>400</v>
      </c>
      <c r="X12" s="50">
        <f t="shared" ref="X12:X18" si="3">C12*W12</f>
        <v>22000</v>
      </c>
      <c r="Y12" s="28"/>
      <c r="Z12" s="28"/>
    </row>
    <row r="13">
      <c r="A13" s="52" t="s">
        <v>96</v>
      </c>
      <c r="B13" s="47" t="s">
        <v>97</v>
      </c>
      <c r="C13" s="51">
        <v>66.0</v>
      </c>
      <c r="D13" s="48" t="s">
        <v>101</v>
      </c>
      <c r="E13" s="51">
        <v>43.0</v>
      </c>
      <c r="F13" s="50">
        <f t="shared" si="1"/>
        <v>16770</v>
      </c>
      <c r="G13" s="48">
        <v>40.0</v>
      </c>
      <c r="H13" s="48">
        <v>40.0</v>
      </c>
      <c r="I13" s="48">
        <v>40.0</v>
      </c>
      <c r="J13" s="48">
        <v>40.0</v>
      </c>
      <c r="K13" s="51">
        <v>20.0</v>
      </c>
      <c r="L13" s="51">
        <v>20.0</v>
      </c>
      <c r="M13" s="51">
        <v>20.0</v>
      </c>
      <c r="N13" s="51">
        <v>20.0</v>
      </c>
      <c r="O13" s="51">
        <v>20.0</v>
      </c>
      <c r="P13" s="51">
        <v>20.0</v>
      </c>
      <c r="Q13" s="51">
        <v>20.0</v>
      </c>
      <c r="R13" s="51">
        <v>20.0</v>
      </c>
      <c r="S13" s="51">
        <v>20.0</v>
      </c>
      <c r="T13" s="51">
        <v>20.0</v>
      </c>
      <c r="U13" s="48">
        <v>20.0</v>
      </c>
      <c r="V13" s="48">
        <v>10.0</v>
      </c>
      <c r="W13" s="48">
        <f t="shared" si="2"/>
        <v>390</v>
      </c>
      <c r="X13" s="50">
        <f t="shared" si="3"/>
        <v>25740</v>
      </c>
      <c r="Y13" s="28"/>
      <c r="Z13" s="28"/>
    </row>
    <row r="14">
      <c r="A14" s="52" t="s">
        <v>98</v>
      </c>
      <c r="B14" s="47" t="s">
        <v>99</v>
      </c>
      <c r="C14" s="51">
        <v>83.0</v>
      </c>
      <c r="D14" s="48" t="s">
        <v>101</v>
      </c>
      <c r="E14" s="51">
        <v>59.0</v>
      </c>
      <c r="F14" s="50">
        <f t="shared" si="1"/>
        <v>36580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20.0</v>
      </c>
      <c r="W14" s="48">
        <f t="shared" si="2"/>
        <v>620</v>
      </c>
      <c r="X14" s="50">
        <f t="shared" si="3"/>
        <v>51460</v>
      </c>
      <c r="Y14" s="28"/>
      <c r="Z14" s="28"/>
    </row>
    <row r="15">
      <c r="A15" s="52" t="s">
        <v>102</v>
      </c>
      <c r="B15" s="53" t="s">
        <v>99</v>
      </c>
      <c r="C15" s="51">
        <v>50.0</v>
      </c>
      <c r="D15" s="48" t="s">
        <v>101</v>
      </c>
      <c r="E15" s="51">
        <v>22.0</v>
      </c>
      <c r="F15" s="50">
        <f t="shared" si="1"/>
        <v>5280</v>
      </c>
      <c r="G15" s="6"/>
      <c r="H15" s="6"/>
      <c r="I15" s="6"/>
      <c r="J15" s="6"/>
      <c r="K15" s="48"/>
      <c r="L15" s="48"/>
      <c r="M15" s="48">
        <v>40.0</v>
      </c>
      <c r="N15" s="48">
        <v>40.0</v>
      </c>
      <c r="O15" s="48">
        <v>40.0</v>
      </c>
      <c r="P15" s="48">
        <v>40.0</v>
      </c>
      <c r="Q15" s="51">
        <v>20.0</v>
      </c>
      <c r="R15" s="51">
        <v>20.0</v>
      </c>
      <c r="S15" s="51">
        <v>20.0</v>
      </c>
      <c r="T15" s="51">
        <v>20.0</v>
      </c>
      <c r="U15" s="6"/>
      <c r="V15" s="6"/>
      <c r="W15" s="48">
        <f t="shared" si="2"/>
        <v>240</v>
      </c>
      <c r="X15" s="50">
        <f t="shared" si="3"/>
        <v>12000</v>
      </c>
      <c r="Y15" s="28"/>
      <c r="Z15" s="28"/>
    </row>
    <row r="16">
      <c r="A16" s="46" t="s">
        <v>103</v>
      </c>
      <c r="B16" s="47" t="s">
        <v>97</v>
      </c>
      <c r="C16" s="48">
        <v>44.0</v>
      </c>
      <c r="D16" s="48" t="s">
        <v>101</v>
      </c>
      <c r="E16" s="48">
        <v>16.0</v>
      </c>
      <c r="F16" s="50">
        <f t="shared" si="1"/>
        <v>6400</v>
      </c>
      <c r="G16" s="6"/>
      <c r="H16" s="6"/>
      <c r="I16" s="6"/>
      <c r="J16" s="6"/>
      <c r="K16" s="48">
        <v>40.0</v>
      </c>
      <c r="L16" s="48">
        <v>40.0</v>
      </c>
      <c r="M16" s="48">
        <v>40.0</v>
      </c>
      <c r="N16" s="48">
        <v>40.0</v>
      </c>
      <c r="O16" s="48">
        <v>40.0</v>
      </c>
      <c r="P16" s="48">
        <v>40.0</v>
      </c>
      <c r="Q16" s="48">
        <v>40.0</v>
      </c>
      <c r="R16" s="48">
        <v>40.0</v>
      </c>
      <c r="S16" s="51">
        <v>20.0</v>
      </c>
      <c r="T16" s="51">
        <v>20.0</v>
      </c>
      <c r="U16" s="51">
        <v>20.0</v>
      </c>
      <c r="V16" s="48">
        <v>20.0</v>
      </c>
      <c r="W16" s="48">
        <f t="shared" si="2"/>
        <v>400</v>
      </c>
      <c r="X16" s="50">
        <f t="shared" si="3"/>
        <v>17600</v>
      </c>
      <c r="Y16" s="28"/>
      <c r="Z16" s="28"/>
    </row>
    <row r="17">
      <c r="A17" s="46" t="s">
        <v>104</v>
      </c>
      <c r="B17" s="53" t="s">
        <v>99</v>
      </c>
      <c r="C17" s="51">
        <v>50.0</v>
      </c>
      <c r="D17" s="48" t="s">
        <v>101</v>
      </c>
      <c r="E17" s="51">
        <v>22.0</v>
      </c>
      <c r="F17" s="50">
        <f t="shared" si="1"/>
        <v>5280</v>
      </c>
      <c r="G17" s="6"/>
      <c r="H17" s="6"/>
      <c r="I17" s="6"/>
      <c r="J17" s="6"/>
      <c r="K17" s="51">
        <v>20.0</v>
      </c>
      <c r="L17" s="51">
        <v>20.0</v>
      </c>
      <c r="M17" s="51">
        <v>20.0</v>
      </c>
      <c r="N17" s="51">
        <v>20.0</v>
      </c>
      <c r="O17" s="51">
        <v>20.0</v>
      </c>
      <c r="P17" s="51">
        <v>20.0</v>
      </c>
      <c r="Q17" s="51">
        <v>20.0</v>
      </c>
      <c r="R17" s="51">
        <v>20.0</v>
      </c>
      <c r="S17" s="51">
        <v>20.0</v>
      </c>
      <c r="T17" s="51">
        <v>20.0</v>
      </c>
      <c r="U17" s="51">
        <v>20.0</v>
      </c>
      <c r="V17" s="48">
        <v>20.0</v>
      </c>
      <c r="W17" s="48">
        <f t="shared" si="2"/>
        <v>240</v>
      </c>
      <c r="X17" s="50">
        <f t="shared" si="3"/>
        <v>12000</v>
      </c>
      <c r="Y17" s="28"/>
      <c r="Z17" s="28"/>
    </row>
    <row r="18">
      <c r="A18" s="52" t="s">
        <v>111</v>
      </c>
      <c r="B18" s="53" t="s">
        <v>112</v>
      </c>
      <c r="C18" s="51">
        <v>39.0</v>
      </c>
      <c r="D18" s="48" t="s">
        <v>101</v>
      </c>
      <c r="E18" s="51">
        <v>11.0</v>
      </c>
      <c r="F18" s="50">
        <f t="shared" si="1"/>
        <v>2200</v>
      </c>
      <c r="G18" s="6"/>
      <c r="H18" s="6"/>
      <c r="I18" s="6"/>
      <c r="J18" s="6"/>
      <c r="K18" s="6"/>
      <c r="L18" s="6"/>
      <c r="M18" s="6"/>
      <c r="N18" s="6"/>
      <c r="O18" s="54">
        <v>20.0</v>
      </c>
      <c r="P18" s="54">
        <v>20.0</v>
      </c>
      <c r="Q18" s="48">
        <v>40.0</v>
      </c>
      <c r="R18" s="48">
        <v>40.0</v>
      </c>
      <c r="S18" s="51">
        <v>40.0</v>
      </c>
      <c r="T18" s="51">
        <v>40.0</v>
      </c>
      <c r="U18" s="6"/>
      <c r="V18" s="6"/>
      <c r="W18" s="48">
        <f t="shared" si="2"/>
        <v>200</v>
      </c>
      <c r="X18" s="50">
        <f t="shared" si="3"/>
        <v>7800</v>
      </c>
      <c r="Y18" s="28"/>
      <c r="Z18" s="28"/>
    </row>
    <row r="19">
      <c r="A19" s="6"/>
      <c r="B19" s="6"/>
      <c r="C19" s="6"/>
      <c r="D19" s="6"/>
      <c r="E19" s="6"/>
      <c r="F19" s="55">
        <f>SUM(F12:F18)</f>
        <v>89710</v>
      </c>
      <c r="G19" s="6"/>
      <c r="H19" s="6"/>
      <c r="I19" s="6"/>
      <c r="J19" s="6"/>
      <c r="K19" s="6"/>
      <c r="L19" s="6"/>
      <c r="M19" s="6"/>
      <c r="N19" s="6"/>
      <c r="O19" s="6"/>
      <c r="P19" s="6"/>
      <c r="Q19" s="6"/>
      <c r="R19" s="6"/>
      <c r="S19" s="6"/>
      <c r="T19" s="6"/>
      <c r="U19" s="6"/>
      <c r="V19" s="6"/>
      <c r="W19" s="56">
        <f t="shared" ref="W19:X19" si="4">SUM(W12:W18)</f>
        <v>2490</v>
      </c>
      <c r="X19" s="55">
        <f t="shared" si="4"/>
        <v>148600</v>
      </c>
      <c r="Y19" s="28"/>
      <c r="Z19" s="57"/>
    </row>
    <row r="20">
      <c r="A20" s="28"/>
      <c r="B20" s="28"/>
      <c r="C20" s="28"/>
      <c r="D20" s="28"/>
      <c r="E20" s="28"/>
      <c r="F20" s="58">
        <f>(X19-F19)/X19</f>
        <v>0.3962987887</v>
      </c>
      <c r="G20" s="28"/>
      <c r="H20" s="28"/>
      <c r="I20" s="28"/>
      <c r="J20" s="28"/>
      <c r="K20" s="28"/>
      <c r="L20" s="28"/>
      <c r="M20" s="28"/>
      <c r="N20" s="28"/>
      <c r="O20" s="28"/>
      <c r="P20" s="28"/>
      <c r="Q20" s="28"/>
      <c r="R20" s="28"/>
      <c r="S20" s="28"/>
      <c r="T20" s="28"/>
      <c r="U20" s="28"/>
      <c r="V20" s="28"/>
      <c r="W20" s="28"/>
      <c r="X20" s="28"/>
      <c r="Y20" s="59"/>
      <c r="Z20" s="28"/>
    </row>
    <row r="21">
      <c r="A21" s="28"/>
      <c r="B21" s="28"/>
      <c r="C21" s="28"/>
      <c r="D21" s="28"/>
      <c r="E21" s="28"/>
      <c r="F21" s="62"/>
      <c r="G21" s="28"/>
      <c r="H21" s="28"/>
      <c r="I21" s="28"/>
      <c r="J21" s="28"/>
      <c r="K21" s="28"/>
      <c r="L21" s="28"/>
      <c r="M21" s="28"/>
      <c r="N21" s="28"/>
      <c r="O21" s="28"/>
      <c r="P21" s="28"/>
      <c r="Q21" s="28"/>
      <c r="R21" s="28"/>
      <c r="S21" s="28"/>
      <c r="T21" s="28"/>
      <c r="U21" s="28"/>
      <c r="V21" s="28"/>
      <c r="W21" s="72" t="s">
        <v>110</v>
      </c>
      <c r="X21" s="28"/>
      <c r="Y21" s="62"/>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62"/>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62"/>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62"/>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62"/>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62"/>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62"/>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62"/>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sheetData>
  <mergeCells count="8">
    <mergeCell ref="A1:V2"/>
    <mergeCell ref="G4:H4"/>
    <mergeCell ref="H5:J5"/>
    <mergeCell ref="K6:L6"/>
    <mergeCell ref="M6:N6"/>
    <mergeCell ref="O6:P6"/>
    <mergeCell ref="Q7:R7"/>
    <mergeCell ref="S8:T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8.88"/>
    <col customWidth="1" min="25" max="25" width="8.63"/>
    <col customWidth="1" min="26" max="26" width="11.13"/>
    <col customWidth="1" min="27" max="28" width="4.13"/>
  </cols>
  <sheetData>
    <row r="1">
      <c r="A1" s="25" t="s">
        <v>113</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73" t="s">
        <v>80</v>
      </c>
      <c r="N6" s="33"/>
      <c r="O6" s="73" t="s">
        <v>81</v>
      </c>
      <c r="P6" s="33"/>
      <c r="Q6" s="73"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44" t="s">
        <v>86</v>
      </c>
      <c r="B10" s="45" t="s">
        <v>87</v>
      </c>
      <c r="C10" s="45" t="s">
        <v>88</v>
      </c>
      <c r="D10" s="45" t="s">
        <v>89</v>
      </c>
      <c r="E10" s="45" t="s">
        <v>90</v>
      </c>
      <c r="F10" s="45" t="s">
        <v>91</v>
      </c>
      <c r="G10" s="6"/>
      <c r="H10" s="6"/>
      <c r="I10" s="6"/>
      <c r="J10" s="6"/>
      <c r="K10" s="6"/>
      <c r="L10" s="6"/>
      <c r="M10" s="6"/>
      <c r="N10" s="6"/>
      <c r="O10" s="6"/>
      <c r="P10" s="6"/>
      <c r="Q10" s="6"/>
      <c r="R10" s="6"/>
      <c r="S10" s="6"/>
      <c r="T10" s="6"/>
      <c r="U10" s="6"/>
      <c r="V10" s="6"/>
      <c r="W10" s="6"/>
      <c r="X10" s="6"/>
      <c r="Y10" s="45" t="s">
        <v>57</v>
      </c>
      <c r="Z10" s="45" t="s">
        <v>92</v>
      </c>
      <c r="AA10" s="28"/>
      <c r="AB10" s="28"/>
    </row>
    <row r="11">
      <c r="A11" s="46" t="s">
        <v>93</v>
      </c>
      <c r="B11" s="47" t="s">
        <v>94</v>
      </c>
      <c r="C11" s="51">
        <v>55.0</v>
      </c>
      <c r="D11" s="51" t="s">
        <v>101</v>
      </c>
      <c r="E11" s="51">
        <v>43.0</v>
      </c>
      <c r="F11" s="50">
        <f t="shared" ref="F11:F17" si="1">Y11*E11</f>
        <v>15480</v>
      </c>
      <c r="G11" s="51">
        <v>20.0</v>
      </c>
      <c r="H11" s="51">
        <v>20.0</v>
      </c>
      <c r="I11" s="51">
        <v>20.0</v>
      </c>
      <c r="J11" s="51">
        <v>20.0</v>
      </c>
      <c r="K11" s="51">
        <v>20.0</v>
      </c>
      <c r="L11" s="51">
        <v>20.0</v>
      </c>
      <c r="M11" s="51">
        <v>20.0</v>
      </c>
      <c r="N11" s="51">
        <v>20.0</v>
      </c>
      <c r="O11" s="51">
        <v>20.0</v>
      </c>
      <c r="P11" s="51">
        <v>20.0</v>
      </c>
      <c r="Q11" s="51">
        <v>20.0</v>
      </c>
      <c r="R11" s="51">
        <v>20.0</v>
      </c>
      <c r="S11" s="51">
        <v>20.0</v>
      </c>
      <c r="T11" s="51">
        <v>20.0</v>
      </c>
      <c r="U11" s="51">
        <v>20.0</v>
      </c>
      <c r="V11" s="51">
        <v>20.0</v>
      </c>
      <c r="W11" s="51">
        <v>20.0</v>
      </c>
      <c r="X11" s="48">
        <v>20.0</v>
      </c>
      <c r="Y11" s="48">
        <f t="shared" ref="Y11:Y17" si="2">SUM(G11:X11)</f>
        <v>360</v>
      </c>
      <c r="Z11" s="50">
        <f t="shared" ref="Z11:Z17" si="3">C11*Y11</f>
        <v>19800</v>
      </c>
      <c r="AA11" s="28"/>
      <c r="AB11" s="28"/>
    </row>
    <row r="12">
      <c r="A12" s="52" t="s">
        <v>114</v>
      </c>
      <c r="B12" s="47" t="s">
        <v>97</v>
      </c>
      <c r="C12" s="51">
        <v>66.0</v>
      </c>
      <c r="D12" s="48" t="s">
        <v>101</v>
      </c>
      <c r="E12" s="51">
        <v>43.0</v>
      </c>
      <c r="F12" s="50">
        <f t="shared" si="1"/>
        <v>18490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48">
        <v>20.0</v>
      </c>
      <c r="X12" s="48">
        <v>10.0</v>
      </c>
      <c r="Y12" s="48">
        <f t="shared" si="2"/>
        <v>430</v>
      </c>
      <c r="Z12" s="50">
        <f t="shared" si="3"/>
        <v>28380</v>
      </c>
      <c r="AA12" s="28"/>
      <c r="AB12" s="28"/>
    </row>
    <row r="13">
      <c r="A13" s="52" t="s">
        <v>115</v>
      </c>
      <c r="B13" s="47" t="s">
        <v>99</v>
      </c>
      <c r="C13" s="51">
        <v>55.0</v>
      </c>
      <c r="D13" s="48" t="s">
        <v>101</v>
      </c>
      <c r="E13" s="51">
        <v>38.0</v>
      </c>
      <c r="F13" s="50">
        <f t="shared" si="1"/>
        <v>26600</v>
      </c>
      <c r="G13" s="48">
        <v>40.0</v>
      </c>
      <c r="H13" s="48">
        <v>40.0</v>
      </c>
      <c r="I13" s="48">
        <v>40.0</v>
      </c>
      <c r="J13" s="48">
        <v>40.0</v>
      </c>
      <c r="K13" s="48">
        <v>40.0</v>
      </c>
      <c r="L13" s="48">
        <v>40.0</v>
      </c>
      <c r="M13" s="48">
        <v>40.0</v>
      </c>
      <c r="N13" s="48">
        <v>40.0</v>
      </c>
      <c r="O13" s="48">
        <v>40.0</v>
      </c>
      <c r="P13" s="48">
        <v>40.0</v>
      </c>
      <c r="Q13" s="48">
        <v>40.0</v>
      </c>
      <c r="R13" s="48">
        <v>40.0</v>
      </c>
      <c r="S13" s="48">
        <v>40.0</v>
      </c>
      <c r="T13" s="48">
        <v>40.0</v>
      </c>
      <c r="U13" s="48">
        <v>40.0</v>
      </c>
      <c r="V13" s="48">
        <v>40.0</v>
      </c>
      <c r="W13" s="48">
        <v>40.0</v>
      </c>
      <c r="X13" s="48">
        <v>20.0</v>
      </c>
      <c r="Y13" s="48">
        <f t="shared" si="2"/>
        <v>700</v>
      </c>
      <c r="Z13" s="50">
        <f t="shared" si="3"/>
        <v>38500</v>
      </c>
      <c r="AA13" s="28"/>
      <c r="AB13" s="28"/>
    </row>
    <row r="14">
      <c r="A14" s="52" t="s">
        <v>103</v>
      </c>
      <c r="B14" s="53" t="s">
        <v>99</v>
      </c>
      <c r="C14" s="51">
        <v>50.0</v>
      </c>
      <c r="D14" s="48" t="s">
        <v>101</v>
      </c>
      <c r="E14" s="51">
        <v>22.0</v>
      </c>
      <c r="F14" s="50">
        <f t="shared" si="1"/>
        <v>8800</v>
      </c>
      <c r="G14" s="6"/>
      <c r="H14" s="6"/>
      <c r="I14" s="6"/>
      <c r="J14" s="6"/>
      <c r="K14" s="48">
        <v>40.0</v>
      </c>
      <c r="L14" s="48">
        <v>40.0</v>
      </c>
      <c r="M14" s="48">
        <v>40.0</v>
      </c>
      <c r="N14" s="48">
        <v>40.0</v>
      </c>
      <c r="O14" s="48">
        <v>40.0</v>
      </c>
      <c r="P14" s="48">
        <v>40.0</v>
      </c>
      <c r="Q14" s="48">
        <v>40.0</v>
      </c>
      <c r="R14" s="48">
        <v>40.0</v>
      </c>
      <c r="S14" s="51">
        <v>20.0</v>
      </c>
      <c r="T14" s="51">
        <v>20.0</v>
      </c>
      <c r="U14" s="51">
        <v>20.0</v>
      </c>
      <c r="V14" s="51">
        <v>20.0</v>
      </c>
      <c r="W14" s="6"/>
      <c r="X14" s="6"/>
      <c r="Y14" s="48">
        <f t="shared" si="2"/>
        <v>400</v>
      </c>
      <c r="Z14" s="50">
        <f t="shared" si="3"/>
        <v>20000</v>
      </c>
      <c r="AA14" s="28"/>
      <c r="AB14" s="28"/>
    </row>
    <row r="15">
      <c r="A15" s="52" t="s">
        <v>116</v>
      </c>
      <c r="B15" s="47" t="s">
        <v>97</v>
      </c>
      <c r="C15" s="48">
        <v>44.0</v>
      </c>
      <c r="D15" s="48" t="s">
        <v>101</v>
      </c>
      <c r="E15" s="48">
        <v>16.0</v>
      </c>
      <c r="F15" s="50">
        <f t="shared" si="1"/>
        <v>7680</v>
      </c>
      <c r="G15" s="6"/>
      <c r="H15" s="6"/>
      <c r="I15" s="6"/>
      <c r="J15" s="6"/>
      <c r="K15" s="48">
        <v>40.0</v>
      </c>
      <c r="L15" s="48">
        <v>40.0</v>
      </c>
      <c r="M15" s="48">
        <v>40.0</v>
      </c>
      <c r="N15" s="48">
        <v>40.0</v>
      </c>
      <c r="O15" s="48">
        <v>40.0</v>
      </c>
      <c r="P15" s="48">
        <v>40.0</v>
      </c>
      <c r="Q15" s="48">
        <v>40.0</v>
      </c>
      <c r="R15" s="48">
        <v>40.0</v>
      </c>
      <c r="S15" s="48">
        <v>40.0</v>
      </c>
      <c r="T15" s="48">
        <v>40.0</v>
      </c>
      <c r="U15" s="51">
        <v>20.0</v>
      </c>
      <c r="V15" s="51">
        <v>20.0</v>
      </c>
      <c r="W15" s="51">
        <v>20.0</v>
      </c>
      <c r="X15" s="48">
        <v>20.0</v>
      </c>
      <c r="Y15" s="48">
        <f t="shared" si="2"/>
        <v>480</v>
      </c>
      <c r="Z15" s="50">
        <f t="shared" si="3"/>
        <v>21120</v>
      </c>
      <c r="AA15" s="28"/>
      <c r="AB15" s="28"/>
    </row>
    <row r="16">
      <c r="A16" s="52" t="s">
        <v>116</v>
      </c>
      <c r="B16" s="53" t="s">
        <v>97</v>
      </c>
      <c r="C16" s="51">
        <v>44.0</v>
      </c>
      <c r="D16" s="48" t="s">
        <v>101</v>
      </c>
      <c r="E16" s="51">
        <v>16.0</v>
      </c>
      <c r="F16" s="50">
        <f t="shared" si="1"/>
        <v>4480</v>
      </c>
      <c r="G16" s="6"/>
      <c r="H16" s="6"/>
      <c r="I16" s="6"/>
      <c r="J16" s="6"/>
      <c r="K16" s="51">
        <v>20.0</v>
      </c>
      <c r="L16" s="51">
        <v>20.0</v>
      </c>
      <c r="M16" s="51">
        <v>20.0</v>
      </c>
      <c r="N16" s="51">
        <v>20.0</v>
      </c>
      <c r="O16" s="51">
        <v>20.0</v>
      </c>
      <c r="P16" s="51">
        <v>20.0</v>
      </c>
      <c r="Q16" s="51">
        <v>20.0</v>
      </c>
      <c r="R16" s="51">
        <v>20.0</v>
      </c>
      <c r="S16" s="51">
        <v>20.0</v>
      </c>
      <c r="T16" s="51">
        <v>20.0</v>
      </c>
      <c r="U16" s="51">
        <v>20.0</v>
      </c>
      <c r="V16" s="51">
        <v>20.0</v>
      </c>
      <c r="W16" s="51">
        <v>20.0</v>
      </c>
      <c r="X16" s="48">
        <v>20.0</v>
      </c>
      <c r="Y16" s="48">
        <f t="shared" si="2"/>
        <v>280</v>
      </c>
      <c r="Z16" s="50">
        <f t="shared" si="3"/>
        <v>12320</v>
      </c>
      <c r="AA16" s="28"/>
      <c r="AB16" s="28"/>
    </row>
    <row r="17">
      <c r="A17" s="52" t="s">
        <v>111</v>
      </c>
      <c r="B17" s="53" t="s">
        <v>112</v>
      </c>
      <c r="C17" s="51">
        <v>39.0</v>
      </c>
      <c r="D17" s="48" t="s">
        <v>101</v>
      </c>
      <c r="E17" s="51">
        <v>11.0</v>
      </c>
      <c r="F17" s="50">
        <f t="shared" si="1"/>
        <v>2640</v>
      </c>
      <c r="G17" s="6"/>
      <c r="H17" s="6"/>
      <c r="I17" s="6"/>
      <c r="J17" s="6"/>
      <c r="K17" s="6"/>
      <c r="L17" s="6"/>
      <c r="M17" s="6"/>
      <c r="N17" s="6"/>
      <c r="O17" s="51">
        <v>20.0</v>
      </c>
      <c r="P17" s="51">
        <v>20.0</v>
      </c>
      <c r="Q17" s="51">
        <v>20.0</v>
      </c>
      <c r="R17" s="51">
        <v>20.0</v>
      </c>
      <c r="S17" s="48">
        <v>40.0</v>
      </c>
      <c r="T17" s="48">
        <v>40.0</v>
      </c>
      <c r="U17" s="51">
        <v>40.0</v>
      </c>
      <c r="V17" s="51">
        <v>40.0</v>
      </c>
      <c r="W17" s="6"/>
      <c r="X17" s="6"/>
      <c r="Y17" s="48">
        <f t="shared" si="2"/>
        <v>240</v>
      </c>
      <c r="Z17" s="50">
        <f t="shared" si="3"/>
        <v>9360</v>
      </c>
      <c r="AA17" s="28"/>
      <c r="AB17" s="28"/>
    </row>
    <row r="18">
      <c r="A18" s="6"/>
      <c r="B18" s="6"/>
      <c r="C18" s="6"/>
      <c r="D18" s="6"/>
      <c r="E18" s="6"/>
      <c r="F18" s="55">
        <f>SUM(F11:F17)</f>
        <v>84170</v>
      </c>
      <c r="G18" s="6"/>
      <c r="H18" s="6"/>
      <c r="I18" s="6"/>
      <c r="J18" s="6"/>
      <c r="K18" s="6"/>
      <c r="L18" s="6"/>
      <c r="M18" s="6"/>
      <c r="N18" s="6"/>
      <c r="O18" s="6"/>
      <c r="P18" s="6"/>
      <c r="Q18" s="6"/>
      <c r="R18" s="6"/>
      <c r="S18" s="6"/>
      <c r="T18" s="6"/>
      <c r="U18" s="6"/>
      <c r="V18" s="6"/>
      <c r="W18" s="6"/>
      <c r="X18" s="6"/>
      <c r="Y18" s="56">
        <f t="shared" ref="Y18:Z18" si="4">SUM(Y11:Y17)</f>
        <v>2890</v>
      </c>
      <c r="Z18" s="55">
        <f t="shared" si="4"/>
        <v>149480</v>
      </c>
      <c r="AA18" s="28"/>
      <c r="AB18" s="57"/>
    </row>
    <row r="19">
      <c r="A19" s="28"/>
      <c r="B19" s="28"/>
      <c r="C19" s="28"/>
      <c r="D19" s="28"/>
      <c r="E19" s="28"/>
      <c r="F19" s="58">
        <f>(Z18-F18)/Z18</f>
        <v>0.4369146374</v>
      </c>
      <c r="G19" s="28"/>
      <c r="H19" s="28"/>
      <c r="I19" s="28"/>
      <c r="J19" s="28"/>
      <c r="K19" s="28"/>
      <c r="L19" s="28"/>
      <c r="M19" s="28"/>
      <c r="N19" s="28"/>
      <c r="O19" s="28"/>
      <c r="P19" s="28"/>
      <c r="Q19" s="28"/>
      <c r="R19" s="28"/>
      <c r="S19" s="28"/>
      <c r="T19" s="28"/>
      <c r="U19" s="28"/>
      <c r="V19" s="28"/>
      <c r="W19" s="28"/>
      <c r="X19" s="28"/>
      <c r="Y19" s="28"/>
      <c r="Z19" s="28"/>
      <c r="AA19" s="59"/>
      <c r="AB19" s="28"/>
    </row>
    <row r="20">
      <c r="A20" s="28"/>
      <c r="B20" s="28"/>
      <c r="C20" s="28"/>
      <c r="D20" s="28"/>
      <c r="E20" s="28"/>
      <c r="F20" s="62">
        <f>(Z20-F18)/Z20</f>
        <v>0.3743495971</v>
      </c>
      <c r="G20" s="28"/>
      <c r="H20" s="28"/>
      <c r="I20" s="28"/>
      <c r="J20" s="28"/>
      <c r="K20" s="28"/>
      <c r="L20" s="28"/>
      <c r="M20" s="28"/>
      <c r="N20" s="28"/>
      <c r="O20" s="28"/>
      <c r="P20" s="28"/>
      <c r="Q20" s="28"/>
      <c r="R20" s="28"/>
      <c r="S20" s="28"/>
      <c r="T20" s="28"/>
      <c r="U20" s="28"/>
      <c r="V20" s="28"/>
      <c r="W20" s="28"/>
      <c r="X20" s="28"/>
      <c r="Y20" s="60">
        <v>0.1</v>
      </c>
      <c r="Z20" s="61">
        <f>(Z18-(Z18*10%))</f>
        <v>134532</v>
      </c>
      <c r="AA20" s="62"/>
      <c r="AB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62"/>
      <c r="AB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62"/>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sheetData>
  <mergeCells count="9">
    <mergeCell ref="O6:P6"/>
    <mergeCell ref="M6:N6"/>
    <mergeCell ref="G4:H4"/>
    <mergeCell ref="H5:J5"/>
    <mergeCell ref="K6:L6"/>
    <mergeCell ref="Q6:R6"/>
    <mergeCell ref="S7:T7"/>
    <mergeCell ref="U8:V8"/>
    <mergeCell ref="A1:X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4.38"/>
    <col customWidth="1" min="25" max="25" width="8.63"/>
    <col customWidth="1" min="26" max="26" width="8.0"/>
    <col customWidth="1" min="27" max="28" width="4.13"/>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51">
        <v>55.0</v>
      </c>
      <c r="D12" s="51" t="s">
        <v>106</v>
      </c>
      <c r="E12" s="51">
        <v>43.0</v>
      </c>
      <c r="F12" s="50">
        <f t="shared" ref="F12:F19" si="1">Y12*E12</f>
        <v>18920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24200</v>
      </c>
      <c r="AA12" s="28"/>
      <c r="AB12" s="28"/>
    </row>
    <row r="13">
      <c r="A13" s="52" t="s">
        <v>96</v>
      </c>
      <c r="B13" s="47" t="s">
        <v>97</v>
      </c>
      <c r="C13" s="51">
        <v>66.0</v>
      </c>
      <c r="D13" s="48" t="s">
        <v>101</v>
      </c>
      <c r="E13" s="51">
        <v>43.0</v>
      </c>
      <c r="F13" s="50">
        <f t="shared" si="1"/>
        <v>18490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28380</v>
      </c>
      <c r="AA13" s="28"/>
      <c r="AB13" s="28"/>
    </row>
    <row r="14">
      <c r="A14" s="52" t="s">
        <v>98</v>
      </c>
      <c r="B14" s="47" t="s">
        <v>99</v>
      </c>
      <c r="C14" s="51">
        <v>83.0</v>
      </c>
      <c r="D14" s="48" t="s">
        <v>101</v>
      </c>
      <c r="E14" s="51">
        <v>59.0</v>
      </c>
      <c r="F14" s="50">
        <f t="shared" si="1"/>
        <v>41300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58100</v>
      </c>
      <c r="AA14" s="28"/>
      <c r="AB14" s="28"/>
    </row>
    <row r="15">
      <c r="A15" s="52" t="s">
        <v>107</v>
      </c>
      <c r="B15" s="47" t="s">
        <v>94</v>
      </c>
      <c r="C15" s="48">
        <v>55.0</v>
      </c>
      <c r="D15" s="48" t="s">
        <v>101</v>
      </c>
      <c r="E15" s="48">
        <v>27.0</v>
      </c>
      <c r="F15" s="50">
        <f t="shared" si="1"/>
        <v>6480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13200</v>
      </c>
      <c r="AA15" s="28"/>
      <c r="AB15" s="28"/>
    </row>
    <row r="16">
      <c r="A16" s="46" t="s">
        <v>108</v>
      </c>
      <c r="B16" s="47" t="s">
        <v>94</v>
      </c>
      <c r="C16" s="48">
        <v>55.0</v>
      </c>
      <c r="D16" s="48" t="s">
        <v>101</v>
      </c>
      <c r="E16" s="48">
        <v>27.0</v>
      </c>
      <c r="F16" s="50">
        <f t="shared" si="1"/>
        <v>6480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13200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47" t="s">
        <v>94</v>
      </c>
      <c r="C18" s="48">
        <v>55.0</v>
      </c>
      <c r="D18" s="48" t="s">
        <v>101</v>
      </c>
      <c r="E18" s="48">
        <v>27.0</v>
      </c>
      <c r="F18" s="50">
        <f t="shared" si="1"/>
        <v>7560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15400</v>
      </c>
      <c r="AA18" s="28"/>
      <c r="AB18" s="28"/>
    </row>
    <row r="19">
      <c r="A19" s="46" t="s">
        <v>109</v>
      </c>
      <c r="B19" s="47" t="s">
        <v>94</v>
      </c>
      <c r="C19" s="48">
        <v>55.0</v>
      </c>
      <c r="D19" s="48" t="s">
        <v>101</v>
      </c>
      <c r="E19" s="48">
        <v>27.0</v>
      </c>
      <c r="F19" s="50">
        <f t="shared" si="1"/>
        <v>5400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11000</v>
      </c>
      <c r="AA19" s="28"/>
      <c r="AB19" s="28"/>
    </row>
    <row r="20">
      <c r="A20" s="6"/>
      <c r="B20" s="6"/>
      <c r="C20" s="6"/>
      <c r="D20" s="6"/>
      <c r="E20" s="6"/>
      <c r="F20" s="55">
        <f>SUM(F12:F19)</f>
        <v>112310</v>
      </c>
      <c r="G20" s="6"/>
      <c r="H20" s="6"/>
      <c r="I20" s="6"/>
      <c r="J20" s="6"/>
      <c r="K20" s="6"/>
      <c r="L20" s="6"/>
      <c r="M20" s="6"/>
      <c r="N20" s="6"/>
      <c r="O20" s="6"/>
      <c r="P20" s="6"/>
      <c r="Q20" s="6"/>
      <c r="R20" s="6"/>
      <c r="S20" s="6"/>
      <c r="T20" s="6"/>
      <c r="U20" s="6"/>
      <c r="V20" s="6"/>
      <c r="W20" s="6"/>
      <c r="X20" s="6"/>
      <c r="Y20" s="56">
        <f t="shared" ref="Y20:Z20" si="4">SUM(Y12:Y19)</f>
        <v>3010</v>
      </c>
      <c r="Z20" s="55">
        <f t="shared" si="4"/>
        <v>184600</v>
      </c>
      <c r="AA20" s="28"/>
      <c r="AB20" s="57"/>
    </row>
    <row r="21">
      <c r="A21" s="28"/>
      <c r="B21" s="28"/>
      <c r="C21" s="28"/>
      <c r="D21" s="28"/>
      <c r="E21" s="28"/>
      <c r="F21" s="58">
        <f>(Z20-F20)/Z20</f>
        <v>0.391603467</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62"/>
      <c r="G22" s="28"/>
      <c r="H22" s="28"/>
      <c r="I22" s="28"/>
      <c r="J22" s="28"/>
      <c r="K22" s="28"/>
      <c r="L22" s="28"/>
      <c r="M22" s="28"/>
      <c r="N22" s="28"/>
      <c r="O22" s="28"/>
      <c r="P22" s="28"/>
      <c r="Q22" s="28"/>
      <c r="R22" s="28"/>
      <c r="S22" s="28"/>
      <c r="T22" s="28"/>
      <c r="U22" s="28"/>
      <c r="V22" s="28"/>
      <c r="W22" s="28"/>
      <c r="X22" s="28"/>
      <c r="Y22" s="72" t="s">
        <v>110</v>
      </c>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S7:T7"/>
    <mergeCell ref="U8:V8"/>
    <mergeCell ref="A1:X2"/>
    <mergeCell ref="G4:H4"/>
    <mergeCell ref="H5:J5"/>
    <mergeCell ref="K6:L6"/>
    <mergeCell ref="M6:N6"/>
    <mergeCell ref="O6:P6"/>
    <mergeCell ref="Q6:R6"/>
  </mergeCells>
  <drawing r:id="rId1"/>
</worksheet>
</file>